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pring 2026\273\Project\EE273-physical-encoding-layer\"/>
    </mc:Choice>
  </mc:AlternateContent>
  <xr:revisionPtr revIDLastSave="0" documentId="13_ncr:1_{E5B961D6-8F9D-4BAD-886F-392004A06651}" xr6:coauthVersionLast="47" xr6:coauthVersionMax="47" xr10:uidLastSave="{00000000-0000-0000-0000-000000000000}"/>
  <bookViews>
    <workbookView xWindow="-120" yWindow="-120" windowWidth="29040" windowHeight="15840" activeTab="5" xr2:uid="{81E9B038-9D16-409B-8584-556F02779D1D}"/>
  </bookViews>
  <sheets>
    <sheet name="Table 40-1 TX" sheetId="2" r:id="rId1"/>
    <sheet name="Table 40-2 TX" sheetId="4" r:id="rId2"/>
    <sheet name="Bit Reverse" sheetId="5" r:id="rId3"/>
    <sheet name="Table 40-1 RX Raw" sheetId="6" r:id="rId4"/>
    <sheet name="Table 40-1 RX " sheetId="7" r:id="rId5"/>
    <sheet name="Table 40-2 RX Raw" sheetId="8" r:id="rId6"/>
  </sheets>
  <definedNames>
    <definedName name="_xlnm._FilterDatabase" localSheetId="0" hidden="1">'Table 40-1 TX'!$A$3:$W$94</definedName>
    <definedName name="_xlnm._FilterDatabase" localSheetId="1" hidden="1">'Table 40-2 TX'!$A$3:$W$71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" i="8" l="1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4" i="8"/>
  <c r="T3" i="6"/>
  <c r="B71" i="8" a="1"/>
  <c r="B70" i="8"/>
  <c r="B70" i="8" a="1"/>
  <c r="B69" i="8" a="1"/>
  <c r="B68" i="8"/>
  <c r="B68" i="8" a="1"/>
  <c r="B67" i="8" a="1"/>
  <c r="B66" i="8"/>
  <c r="B66" i="8" a="1"/>
  <c r="B65" i="8" a="1"/>
  <c r="B64" i="8"/>
  <c r="B64" i="8" a="1"/>
  <c r="B63" i="8" a="1"/>
  <c r="B62" i="8" a="1"/>
  <c r="B61" i="8" a="1"/>
  <c r="B60" i="8" a="1"/>
  <c r="B59" i="8" a="1"/>
  <c r="B58" i="8" a="1"/>
  <c r="B57" i="8" a="1"/>
  <c r="B56" i="8" a="1"/>
  <c r="B55" i="8" a="1"/>
  <c r="B54" i="8" a="1"/>
  <c r="B53" i="8" a="1"/>
  <c r="B52" i="8" a="1"/>
  <c r="B51" i="8" a="1"/>
  <c r="B50" i="8" a="1"/>
  <c r="B49" i="8" a="1"/>
  <c r="B48" i="8" a="1"/>
  <c r="B47" i="8" a="1"/>
  <c r="B46" i="8" a="1"/>
  <c r="B45" i="8" a="1"/>
  <c r="B44" i="8" a="1"/>
  <c r="B43" i="8" a="1"/>
  <c r="B42" i="8" a="1"/>
  <c r="B41" i="8" a="1"/>
  <c r="B40" i="8" a="1"/>
  <c r="B39" i="8" a="1"/>
  <c r="B38" i="8" a="1"/>
  <c r="B37" i="8" a="1"/>
  <c r="B36" i="8" a="1"/>
  <c r="B35" i="8" a="1"/>
  <c r="B34" i="8" a="1"/>
  <c r="B33" i="8" a="1"/>
  <c r="B32" i="8" a="1"/>
  <c r="B31" i="8" a="1"/>
  <c r="B30" i="8" a="1"/>
  <c r="B29" i="8" a="1"/>
  <c r="B28" i="8" a="1"/>
  <c r="B27" i="8" a="1"/>
  <c r="B26" i="8" a="1"/>
  <c r="B25" i="8" a="1"/>
  <c r="B24" i="8" a="1"/>
  <c r="B23" i="8" a="1"/>
  <c r="B22" i="8" a="1"/>
  <c r="B21" i="8" a="1"/>
  <c r="B20" i="8" a="1"/>
  <c r="B19" i="8" a="1"/>
  <c r="B18" i="8" a="1"/>
  <c r="B17" i="8" a="1"/>
  <c r="B16" i="8" a="1"/>
  <c r="B15" i="8" a="1"/>
  <c r="B14" i="8" a="1"/>
  <c r="B13" i="8" a="1"/>
  <c r="B12" i="8" a="1"/>
  <c r="B11" i="8" a="1"/>
  <c r="B10" i="8" a="1"/>
  <c r="B9" i="8" a="1"/>
  <c r="B8" i="8" a="1"/>
  <c r="B7" i="8" a="1"/>
  <c r="B6" i="8" a="1"/>
  <c r="B5" i="8" a="1"/>
  <c r="B4" i="8" a="1"/>
  <c r="T16" i="6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X35" i="7"/>
  <c r="X36" i="7"/>
  <c r="X37" i="7"/>
  <c r="X38" i="7"/>
  <c r="X39" i="7"/>
  <c r="X40" i="7"/>
  <c r="X41" i="7"/>
  <c r="X42" i="7"/>
  <c r="X43" i="7"/>
  <c r="X44" i="7"/>
  <c r="X45" i="7"/>
  <c r="X46" i="7"/>
  <c r="X47" i="7"/>
  <c r="X48" i="7"/>
  <c r="X49" i="7"/>
  <c r="X50" i="7"/>
  <c r="X51" i="7"/>
  <c r="X52" i="7"/>
  <c r="X53" i="7"/>
  <c r="X54" i="7"/>
  <c r="X55" i="7"/>
  <c r="X56" i="7"/>
  <c r="X57" i="7"/>
  <c r="X58" i="7"/>
  <c r="X59" i="7"/>
  <c r="X60" i="7"/>
  <c r="X61" i="7"/>
  <c r="X62" i="7"/>
  <c r="X63" i="7"/>
  <c r="X64" i="7"/>
  <c r="X65" i="7"/>
  <c r="X66" i="7"/>
  <c r="X3" i="7"/>
  <c r="T4" i="6"/>
  <c r="U4" i="6"/>
  <c r="V4" i="6"/>
  <c r="W4" i="6"/>
  <c r="T5" i="6"/>
  <c r="U5" i="6"/>
  <c r="V5" i="6"/>
  <c r="W5" i="6"/>
  <c r="T6" i="6"/>
  <c r="U6" i="6"/>
  <c r="V6" i="6"/>
  <c r="W6" i="6"/>
  <c r="T7" i="6"/>
  <c r="U7" i="6"/>
  <c r="V7" i="6"/>
  <c r="W7" i="6"/>
  <c r="T8" i="6"/>
  <c r="U8" i="6"/>
  <c r="V8" i="6"/>
  <c r="W8" i="6"/>
  <c r="T9" i="6"/>
  <c r="U9" i="6"/>
  <c r="V9" i="6"/>
  <c r="W9" i="6"/>
  <c r="T10" i="6"/>
  <c r="U10" i="6"/>
  <c r="V10" i="6"/>
  <c r="W10" i="6"/>
  <c r="T11" i="6"/>
  <c r="U11" i="6"/>
  <c r="V11" i="6"/>
  <c r="W11" i="6"/>
  <c r="T12" i="6"/>
  <c r="U12" i="6"/>
  <c r="V12" i="6"/>
  <c r="W12" i="6"/>
  <c r="T13" i="6"/>
  <c r="U13" i="6"/>
  <c r="V13" i="6"/>
  <c r="W13" i="6"/>
  <c r="T14" i="6"/>
  <c r="U14" i="6"/>
  <c r="V14" i="6"/>
  <c r="W14" i="6"/>
  <c r="T15" i="6"/>
  <c r="U15" i="6"/>
  <c r="V15" i="6"/>
  <c r="W15" i="6"/>
  <c r="U16" i="6"/>
  <c r="V16" i="6"/>
  <c r="W16" i="6"/>
  <c r="T17" i="6"/>
  <c r="U17" i="6"/>
  <c r="V17" i="6"/>
  <c r="W17" i="6"/>
  <c r="T18" i="6"/>
  <c r="U18" i="6"/>
  <c r="V18" i="6"/>
  <c r="W18" i="6"/>
  <c r="T19" i="6"/>
  <c r="U19" i="6"/>
  <c r="V19" i="6"/>
  <c r="W19" i="6"/>
  <c r="T20" i="6"/>
  <c r="U20" i="6"/>
  <c r="V20" i="6"/>
  <c r="W20" i="6"/>
  <c r="T21" i="6"/>
  <c r="U21" i="6"/>
  <c r="V21" i="6"/>
  <c r="W21" i="6"/>
  <c r="T22" i="6"/>
  <c r="U22" i="6"/>
  <c r="V22" i="6"/>
  <c r="W22" i="6"/>
  <c r="T23" i="6"/>
  <c r="U23" i="6"/>
  <c r="V23" i="6"/>
  <c r="W23" i="6"/>
  <c r="T24" i="6"/>
  <c r="U24" i="6"/>
  <c r="V24" i="6"/>
  <c r="W24" i="6"/>
  <c r="T25" i="6"/>
  <c r="U25" i="6"/>
  <c r="V25" i="6"/>
  <c r="W25" i="6"/>
  <c r="T26" i="6"/>
  <c r="U26" i="6"/>
  <c r="V26" i="6"/>
  <c r="W26" i="6"/>
  <c r="T27" i="6"/>
  <c r="U27" i="6"/>
  <c r="V27" i="6"/>
  <c r="W27" i="6"/>
  <c r="T28" i="6"/>
  <c r="U28" i="6"/>
  <c r="V28" i="6"/>
  <c r="W28" i="6"/>
  <c r="T29" i="6"/>
  <c r="U29" i="6"/>
  <c r="V29" i="6"/>
  <c r="W29" i="6"/>
  <c r="T30" i="6"/>
  <c r="U30" i="6"/>
  <c r="V30" i="6"/>
  <c r="W30" i="6"/>
  <c r="T31" i="6"/>
  <c r="U31" i="6"/>
  <c r="V31" i="6"/>
  <c r="W31" i="6"/>
  <c r="T32" i="6"/>
  <c r="U32" i="6"/>
  <c r="V32" i="6"/>
  <c r="W32" i="6"/>
  <c r="T33" i="6"/>
  <c r="U33" i="6"/>
  <c r="V33" i="6"/>
  <c r="W33" i="6"/>
  <c r="T34" i="6"/>
  <c r="U34" i="6"/>
  <c r="V34" i="6"/>
  <c r="W34" i="6"/>
  <c r="T35" i="6"/>
  <c r="U35" i="6"/>
  <c r="V35" i="6"/>
  <c r="W35" i="6"/>
  <c r="T36" i="6"/>
  <c r="U36" i="6"/>
  <c r="V36" i="6"/>
  <c r="W36" i="6"/>
  <c r="T37" i="6"/>
  <c r="U37" i="6"/>
  <c r="V37" i="6"/>
  <c r="W37" i="6"/>
  <c r="T38" i="6"/>
  <c r="U38" i="6"/>
  <c r="V38" i="6"/>
  <c r="W38" i="6"/>
  <c r="T39" i="6"/>
  <c r="U39" i="6"/>
  <c r="V39" i="6"/>
  <c r="W39" i="6"/>
  <c r="T40" i="6"/>
  <c r="U40" i="6"/>
  <c r="V40" i="6"/>
  <c r="W40" i="6"/>
  <c r="T41" i="6"/>
  <c r="U41" i="6"/>
  <c r="V41" i="6"/>
  <c r="W41" i="6"/>
  <c r="T42" i="6"/>
  <c r="U42" i="6"/>
  <c r="V42" i="6"/>
  <c r="W42" i="6"/>
  <c r="T43" i="6"/>
  <c r="U43" i="6"/>
  <c r="V43" i="6"/>
  <c r="W43" i="6"/>
  <c r="T44" i="6"/>
  <c r="U44" i="6"/>
  <c r="V44" i="6"/>
  <c r="W44" i="6"/>
  <c r="T45" i="6"/>
  <c r="U45" i="6"/>
  <c r="V45" i="6"/>
  <c r="W45" i="6"/>
  <c r="T46" i="6"/>
  <c r="U46" i="6"/>
  <c r="V46" i="6"/>
  <c r="W46" i="6"/>
  <c r="T47" i="6"/>
  <c r="U47" i="6"/>
  <c r="V47" i="6"/>
  <c r="W47" i="6"/>
  <c r="T48" i="6"/>
  <c r="U48" i="6"/>
  <c r="V48" i="6"/>
  <c r="W48" i="6"/>
  <c r="T49" i="6"/>
  <c r="U49" i="6"/>
  <c r="V49" i="6"/>
  <c r="W49" i="6"/>
  <c r="T50" i="6"/>
  <c r="U50" i="6"/>
  <c r="V50" i="6"/>
  <c r="W50" i="6"/>
  <c r="T51" i="6"/>
  <c r="U51" i="6"/>
  <c r="V51" i="6"/>
  <c r="W51" i="6"/>
  <c r="T52" i="6"/>
  <c r="U52" i="6"/>
  <c r="V52" i="6"/>
  <c r="W52" i="6"/>
  <c r="T53" i="6"/>
  <c r="U53" i="6"/>
  <c r="V53" i="6"/>
  <c r="W53" i="6"/>
  <c r="T54" i="6"/>
  <c r="U54" i="6"/>
  <c r="V54" i="6"/>
  <c r="W54" i="6"/>
  <c r="T55" i="6"/>
  <c r="U55" i="6"/>
  <c r="V55" i="6"/>
  <c r="W55" i="6"/>
  <c r="T56" i="6"/>
  <c r="U56" i="6"/>
  <c r="V56" i="6"/>
  <c r="W56" i="6"/>
  <c r="T57" i="6"/>
  <c r="U57" i="6"/>
  <c r="V57" i="6"/>
  <c r="W57" i="6"/>
  <c r="T58" i="6"/>
  <c r="U58" i="6"/>
  <c r="V58" i="6"/>
  <c r="W58" i="6"/>
  <c r="T59" i="6"/>
  <c r="U59" i="6"/>
  <c r="V59" i="6"/>
  <c r="W59" i="6"/>
  <c r="T60" i="6"/>
  <c r="U60" i="6"/>
  <c r="V60" i="6"/>
  <c r="W60" i="6"/>
  <c r="T61" i="6"/>
  <c r="U61" i="6"/>
  <c r="V61" i="6"/>
  <c r="W61" i="6"/>
  <c r="T62" i="6"/>
  <c r="U62" i="6"/>
  <c r="V62" i="6"/>
  <c r="W62" i="6"/>
  <c r="T63" i="6"/>
  <c r="U63" i="6"/>
  <c r="V63" i="6"/>
  <c r="W63" i="6"/>
  <c r="T64" i="6"/>
  <c r="U64" i="6"/>
  <c r="V64" i="6"/>
  <c r="W64" i="6"/>
  <c r="T65" i="6"/>
  <c r="U65" i="6"/>
  <c r="V65" i="6"/>
  <c r="W65" i="6"/>
  <c r="T66" i="6"/>
  <c r="U66" i="6"/>
  <c r="V66" i="6"/>
  <c r="W66" i="6"/>
  <c r="W3" i="6"/>
  <c r="V3" i="6"/>
  <c r="U3" i="6"/>
  <c r="B93" i="6" a="1"/>
  <c r="B93" i="6" s="1"/>
  <c r="B92" i="6" a="1"/>
  <c r="B92" i="6" s="1"/>
  <c r="B91" i="6" a="1"/>
  <c r="B91" i="6" s="1"/>
  <c r="B90" i="6" a="1"/>
  <c r="B90" i="6" s="1"/>
  <c r="B89" i="6" a="1"/>
  <c r="B89" i="6" s="1"/>
  <c r="B88" i="6" a="1"/>
  <c r="B88" i="6" s="1"/>
  <c r="B87" i="6" a="1"/>
  <c r="B87" i="6" s="1"/>
  <c r="B86" i="6" a="1"/>
  <c r="B86" i="6" s="1"/>
  <c r="B85" i="6" a="1"/>
  <c r="B85" i="6" s="1"/>
  <c r="B84" i="6" a="1"/>
  <c r="B84" i="6" s="1"/>
  <c r="B83" i="6" a="1"/>
  <c r="B83" i="6" s="1"/>
  <c r="B82" i="6" a="1"/>
  <c r="B82" i="6" s="1"/>
  <c r="B81" i="6" a="1"/>
  <c r="B81" i="6" s="1"/>
  <c r="B80" i="6" a="1"/>
  <c r="B80" i="6" s="1"/>
  <c r="B79" i="6" a="1"/>
  <c r="B79" i="6" s="1"/>
  <c r="B78" i="6" a="1"/>
  <c r="B78" i="6" s="1"/>
  <c r="B77" i="6" a="1"/>
  <c r="B77" i="6" s="1"/>
  <c r="B76" i="6" a="1"/>
  <c r="B76" i="6" s="1"/>
  <c r="B75" i="6" a="1"/>
  <c r="B75" i="6" s="1"/>
  <c r="B74" i="6" a="1"/>
  <c r="B74" i="6" s="1"/>
  <c r="B73" i="6" a="1"/>
  <c r="B73" i="6" s="1"/>
  <c r="B72" i="6" a="1"/>
  <c r="B72" i="6" s="1"/>
  <c r="B71" i="6" a="1"/>
  <c r="B71" i="6" s="1"/>
  <c r="B70" i="6" a="1"/>
  <c r="B70" i="6" s="1"/>
  <c r="B69" i="6" a="1"/>
  <c r="B69" i="6" s="1"/>
  <c r="B68" i="6" a="1"/>
  <c r="B68" i="6" s="1"/>
  <c r="B67" i="6" a="1"/>
  <c r="B67" i="6" s="1"/>
  <c r="B66" i="6" a="1"/>
  <c r="B66" i="6" s="1"/>
  <c r="B65" i="6" a="1"/>
  <c r="B65" i="6" s="1"/>
  <c r="B64" i="6" a="1"/>
  <c r="B64" i="6" s="1"/>
  <c r="B63" i="6" a="1"/>
  <c r="B63" i="6" s="1"/>
  <c r="B62" i="6" a="1"/>
  <c r="B62" i="6" s="1"/>
  <c r="B61" i="6" a="1"/>
  <c r="B61" i="6" s="1"/>
  <c r="B60" i="6" a="1"/>
  <c r="B60" i="6" s="1"/>
  <c r="B59" i="6" a="1"/>
  <c r="B59" i="6" s="1"/>
  <c r="B58" i="6" a="1"/>
  <c r="B58" i="6" s="1"/>
  <c r="B57" i="6" a="1"/>
  <c r="B57" i="6" s="1"/>
  <c r="B56" i="6" a="1"/>
  <c r="B56" i="6" s="1"/>
  <c r="B55" i="6" a="1"/>
  <c r="B55" i="6" s="1"/>
  <c r="B54" i="6" a="1"/>
  <c r="B54" i="6" s="1"/>
  <c r="B53" i="6" a="1"/>
  <c r="B53" i="6" s="1"/>
  <c r="B52" i="6" a="1"/>
  <c r="B52" i="6" s="1"/>
  <c r="B51" i="6" a="1"/>
  <c r="B51" i="6" s="1"/>
  <c r="B50" i="6" a="1"/>
  <c r="B50" i="6" s="1"/>
  <c r="B49" i="6" a="1"/>
  <c r="B49" i="6" s="1"/>
  <c r="B48" i="6" a="1"/>
  <c r="B48" i="6" s="1"/>
  <c r="B47" i="6" a="1"/>
  <c r="B47" i="6" s="1"/>
  <c r="B46" i="6" a="1"/>
  <c r="B46" i="6" s="1"/>
  <c r="B45" i="6" a="1"/>
  <c r="B45" i="6" s="1"/>
  <c r="B44" i="6" a="1"/>
  <c r="B44" i="6" s="1"/>
  <c r="B43" i="6" a="1"/>
  <c r="B43" i="6" s="1"/>
  <c r="B42" i="6" a="1"/>
  <c r="B42" i="6" s="1"/>
  <c r="B41" i="6" a="1"/>
  <c r="B41" i="6" s="1"/>
  <c r="B40" i="6" a="1"/>
  <c r="B40" i="6" s="1"/>
  <c r="B39" i="6" a="1"/>
  <c r="B39" i="6" s="1"/>
  <c r="B38" i="6" a="1"/>
  <c r="B38" i="6" s="1"/>
  <c r="B37" i="6" a="1"/>
  <c r="B37" i="6" s="1"/>
  <c r="B36" i="6" a="1"/>
  <c r="B36" i="6" s="1"/>
  <c r="B35" i="6" a="1"/>
  <c r="B35" i="6" s="1"/>
  <c r="B34" i="6" a="1"/>
  <c r="B34" i="6" s="1"/>
  <c r="B33" i="6" a="1"/>
  <c r="B33" i="6" s="1"/>
  <c r="B32" i="6" a="1"/>
  <c r="B32" i="6" s="1"/>
  <c r="B31" i="6" a="1"/>
  <c r="B31" i="6" s="1"/>
  <c r="B30" i="6" a="1"/>
  <c r="B30" i="6" s="1"/>
  <c r="B29" i="6" a="1"/>
  <c r="B29" i="6" s="1"/>
  <c r="B28" i="6" a="1"/>
  <c r="B28" i="6" s="1"/>
  <c r="B27" i="6" a="1"/>
  <c r="B27" i="6" s="1"/>
  <c r="B26" i="6" a="1"/>
  <c r="B26" i="6" s="1"/>
  <c r="B25" i="6" a="1"/>
  <c r="B25" i="6" s="1"/>
  <c r="B24" i="6" a="1"/>
  <c r="B24" i="6" s="1"/>
  <c r="B23" i="6" a="1"/>
  <c r="B23" i="6" s="1"/>
  <c r="B22" i="6" a="1"/>
  <c r="B22" i="6" s="1"/>
  <c r="B21" i="6" a="1"/>
  <c r="B21" i="6" s="1"/>
  <c r="B20" i="6" a="1"/>
  <c r="B20" i="6" s="1"/>
  <c r="B19" i="6" a="1"/>
  <c r="B19" i="6" s="1"/>
  <c r="B18" i="6" a="1"/>
  <c r="B18" i="6" s="1"/>
  <c r="B17" i="6" a="1"/>
  <c r="B17" i="6" s="1"/>
  <c r="B16" i="6" a="1"/>
  <c r="B16" i="6" s="1"/>
  <c r="B15" i="6" a="1"/>
  <c r="B15" i="6" s="1"/>
  <c r="B14" i="6" a="1"/>
  <c r="B14" i="6" s="1"/>
  <c r="B13" i="6" a="1"/>
  <c r="B13" i="6" s="1"/>
  <c r="B12" i="6" a="1"/>
  <c r="B12" i="6" s="1"/>
  <c r="B11" i="6" a="1"/>
  <c r="B11" i="6" s="1"/>
  <c r="B10" i="6" a="1"/>
  <c r="B10" i="6" s="1"/>
  <c r="B9" i="6" a="1"/>
  <c r="B9" i="6" s="1"/>
  <c r="B8" i="6" a="1"/>
  <c r="B8" i="6" s="1"/>
  <c r="B7" i="6" a="1"/>
  <c r="B7" i="6" s="1"/>
  <c r="B6" i="6" a="1"/>
  <c r="B6" i="6" s="1"/>
  <c r="B5" i="6" a="1"/>
  <c r="B5" i="6" s="1"/>
  <c r="B4" i="6" a="1"/>
  <c r="B4" i="6" s="1"/>
  <c r="B3" i="6" a="1"/>
  <c r="B3" i="6" s="1"/>
  <c r="T90" i="2"/>
  <c r="W5" i="4"/>
  <c r="T6" i="4"/>
  <c r="U6" i="4"/>
  <c r="V6" i="4"/>
  <c r="T7" i="4"/>
  <c r="W8" i="4"/>
  <c r="T9" i="4"/>
  <c r="U9" i="4"/>
  <c r="V9" i="4"/>
  <c r="W9" i="4"/>
  <c r="T10" i="4"/>
  <c r="W11" i="4"/>
  <c r="T15" i="4"/>
  <c r="W17" i="4"/>
  <c r="T18" i="4"/>
  <c r="U18" i="4"/>
  <c r="V18" i="4"/>
  <c r="T19" i="4"/>
  <c r="W20" i="4"/>
  <c r="T21" i="4"/>
  <c r="U21" i="4"/>
  <c r="V21" i="4"/>
  <c r="W21" i="4"/>
  <c r="T22" i="4"/>
  <c r="W23" i="4"/>
  <c r="T27" i="4"/>
  <c r="W29" i="4"/>
  <c r="T30" i="4"/>
  <c r="U30" i="4"/>
  <c r="V30" i="4"/>
  <c r="W32" i="4"/>
  <c r="T33" i="4"/>
  <c r="U33" i="4"/>
  <c r="V33" i="4"/>
  <c r="W33" i="4"/>
  <c r="W35" i="4"/>
  <c r="W41" i="4"/>
  <c r="T42" i="4"/>
  <c r="U42" i="4"/>
  <c r="V42" i="4"/>
  <c r="W44" i="4"/>
  <c r="T45" i="4"/>
  <c r="U45" i="4"/>
  <c r="V45" i="4"/>
  <c r="W47" i="4"/>
  <c r="T48" i="4"/>
  <c r="W53" i="4"/>
  <c r="T54" i="4"/>
  <c r="U54" i="4"/>
  <c r="W56" i="4"/>
  <c r="T57" i="4"/>
  <c r="U57" i="4"/>
  <c r="V57" i="4"/>
  <c r="W59" i="4"/>
  <c r="T60" i="4"/>
  <c r="T66" i="4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4" i="4" a="1"/>
  <c r="B4" i="4" s="1"/>
  <c r="V72" i="2"/>
  <c r="W72" i="2"/>
  <c r="V73" i="2"/>
  <c r="W73" i="2"/>
  <c r="V74" i="2"/>
  <c r="W74" i="2"/>
  <c r="V75" i="2"/>
  <c r="W75" i="2"/>
  <c r="V76" i="2"/>
  <c r="W76" i="2"/>
  <c r="V77" i="2"/>
  <c r="W77" i="2"/>
  <c r="V78" i="2"/>
  <c r="W78" i="2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4" i="2" a="1"/>
  <c r="B4" i="2" s="1"/>
  <c r="B14" i="8" l="1"/>
  <c r="B24" i="8"/>
  <c r="B38" i="8"/>
  <c r="B54" i="8"/>
  <c r="B8" i="8"/>
  <c r="B28" i="8"/>
  <c r="B48" i="8"/>
  <c r="B4" i="8"/>
  <c r="B10" i="8"/>
  <c r="B16" i="8"/>
  <c r="B20" i="8"/>
  <c r="B26" i="8"/>
  <c r="B32" i="8"/>
  <c r="B36" i="8"/>
  <c r="B42" i="8"/>
  <c r="B46" i="8"/>
  <c r="B52" i="8"/>
  <c r="B58" i="8"/>
  <c r="B62" i="8"/>
  <c r="B6" i="8"/>
  <c r="B12" i="8"/>
  <c r="B18" i="8"/>
  <c r="B22" i="8"/>
  <c r="B30" i="8"/>
  <c r="B34" i="8"/>
  <c r="B40" i="8"/>
  <c r="B44" i="8"/>
  <c r="B50" i="8"/>
  <c r="B56" i="8"/>
  <c r="B60" i="8"/>
  <c r="B5" i="8"/>
  <c r="B7" i="8"/>
  <c r="B9" i="8"/>
  <c r="B11" i="8"/>
  <c r="B13" i="8"/>
  <c r="B15" i="8"/>
  <c r="B17" i="8"/>
  <c r="B19" i="8"/>
  <c r="B21" i="8"/>
  <c r="B23" i="8"/>
  <c r="B25" i="8"/>
  <c r="B27" i="8"/>
  <c r="B29" i="8"/>
  <c r="B31" i="8"/>
  <c r="B33" i="8"/>
  <c r="B35" i="8"/>
  <c r="B37" i="8"/>
  <c r="B39" i="8"/>
  <c r="B41" i="8"/>
  <c r="B43" i="8"/>
  <c r="B45" i="8"/>
  <c r="B47" i="8"/>
  <c r="B49" i="8"/>
  <c r="B51" i="8"/>
  <c r="B53" i="8"/>
  <c r="B55" i="8"/>
  <c r="B57" i="8"/>
  <c r="B59" i="8"/>
  <c r="B61" i="8"/>
  <c r="B63" i="8"/>
  <c r="B65" i="8"/>
  <c r="B67" i="8"/>
  <c r="B69" i="8"/>
  <c r="B71" i="8"/>
  <c r="T91" i="2"/>
  <c r="T89" i="2"/>
  <c r="T88" i="2"/>
  <c r="T87" i="2"/>
  <c r="T86" i="2"/>
  <c r="T85" i="2"/>
  <c r="T83" i="2"/>
  <c r="W62" i="2"/>
  <c r="T79" i="2"/>
  <c r="T82" i="2"/>
  <c r="W44" i="2"/>
  <c r="T94" i="2"/>
  <c r="T80" i="2"/>
  <c r="W26" i="2"/>
  <c r="T93" i="2"/>
  <c r="T81" i="2"/>
  <c r="W8" i="2"/>
  <c r="T92" i="2"/>
  <c r="T84" i="2"/>
  <c r="V62" i="2"/>
  <c r="V44" i="2"/>
  <c r="V26" i="2"/>
  <c r="V8" i="2"/>
  <c r="W59" i="2"/>
  <c r="W41" i="2"/>
  <c r="W23" i="2"/>
  <c r="W5" i="2"/>
  <c r="V59" i="2"/>
  <c r="V41" i="2"/>
  <c r="V23" i="2"/>
  <c r="V5" i="2"/>
  <c r="W56" i="2"/>
  <c r="W38" i="2"/>
  <c r="W20" i="2"/>
  <c r="V56" i="2"/>
  <c r="V38" i="2"/>
  <c r="V20" i="2"/>
  <c r="W53" i="2"/>
  <c r="W35" i="2"/>
  <c r="W17" i="2"/>
  <c r="V53" i="2"/>
  <c r="V35" i="2"/>
  <c r="V17" i="2"/>
  <c r="T4" i="2"/>
  <c r="W50" i="2"/>
  <c r="W32" i="2"/>
  <c r="W14" i="2"/>
  <c r="U4" i="2"/>
  <c r="V50" i="2"/>
  <c r="V32" i="2"/>
  <c r="V14" i="2"/>
  <c r="W65" i="2"/>
  <c r="W47" i="2"/>
  <c r="W29" i="2"/>
  <c r="W11" i="2"/>
  <c r="V65" i="2"/>
  <c r="V47" i="2"/>
  <c r="V29" i="2"/>
  <c r="V11" i="2"/>
  <c r="V4" i="2"/>
  <c r="U65" i="2"/>
  <c r="U62" i="2"/>
  <c r="U59" i="2"/>
  <c r="U56" i="2"/>
  <c r="U53" i="2"/>
  <c r="U50" i="2"/>
  <c r="U47" i="2"/>
  <c r="U44" i="2"/>
  <c r="U41" i="2"/>
  <c r="U38" i="2"/>
  <c r="U35" i="2"/>
  <c r="U32" i="2"/>
  <c r="U29" i="2"/>
  <c r="U26" i="2"/>
  <c r="U23" i="2"/>
  <c r="U20" i="2"/>
  <c r="U17" i="2"/>
  <c r="U14" i="2"/>
  <c r="U11" i="2"/>
  <c r="U8" i="2"/>
  <c r="U5" i="2"/>
  <c r="W4" i="2"/>
  <c r="T65" i="2"/>
  <c r="T62" i="2"/>
  <c r="T59" i="2"/>
  <c r="T56" i="2"/>
  <c r="T53" i="2"/>
  <c r="T50" i="2"/>
  <c r="T47" i="2"/>
  <c r="T44" i="2"/>
  <c r="T41" i="2"/>
  <c r="T38" i="2"/>
  <c r="T35" i="2"/>
  <c r="T32" i="2"/>
  <c r="T29" i="2"/>
  <c r="T26" i="2"/>
  <c r="T23" i="2"/>
  <c r="T20" i="2"/>
  <c r="T17" i="2"/>
  <c r="T14" i="2"/>
  <c r="T11" i="2"/>
  <c r="T8" i="2"/>
  <c r="T5" i="2"/>
  <c r="W67" i="2"/>
  <c r="W64" i="2"/>
  <c r="W61" i="2"/>
  <c r="W58" i="2"/>
  <c r="W55" i="2"/>
  <c r="W52" i="2"/>
  <c r="W49" i="2"/>
  <c r="W46" i="2"/>
  <c r="W43" i="2"/>
  <c r="W40" i="2"/>
  <c r="W37" i="2"/>
  <c r="W34" i="2"/>
  <c r="W31" i="2"/>
  <c r="W28" i="2"/>
  <c r="W25" i="2"/>
  <c r="W22" i="2"/>
  <c r="W19" i="2"/>
  <c r="W16" i="2"/>
  <c r="W13" i="2"/>
  <c r="W10" i="2"/>
  <c r="W7" i="2"/>
  <c r="V67" i="2"/>
  <c r="V64" i="2"/>
  <c r="V61" i="2"/>
  <c r="V58" i="2"/>
  <c r="V55" i="2"/>
  <c r="V52" i="2"/>
  <c r="V49" i="2"/>
  <c r="V46" i="2"/>
  <c r="V43" i="2"/>
  <c r="V40" i="2"/>
  <c r="V37" i="2"/>
  <c r="V34" i="2"/>
  <c r="V31" i="2"/>
  <c r="V28" i="2"/>
  <c r="V25" i="2"/>
  <c r="V22" i="2"/>
  <c r="V19" i="2"/>
  <c r="V16" i="2"/>
  <c r="V13" i="2"/>
  <c r="V10" i="2"/>
  <c r="V7" i="2"/>
  <c r="U67" i="2"/>
  <c r="U64" i="2"/>
  <c r="U61" i="2"/>
  <c r="U58" i="2"/>
  <c r="U55" i="2"/>
  <c r="U52" i="2"/>
  <c r="U49" i="2"/>
  <c r="U46" i="2"/>
  <c r="U43" i="2"/>
  <c r="U40" i="2"/>
  <c r="U37" i="2"/>
  <c r="U34" i="2"/>
  <c r="U31" i="2"/>
  <c r="U28" i="2"/>
  <c r="U25" i="2"/>
  <c r="U22" i="2"/>
  <c r="U19" i="2"/>
  <c r="U16" i="2"/>
  <c r="U13" i="2"/>
  <c r="U10" i="2"/>
  <c r="U7" i="2"/>
  <c r="T67" i="2"/>
  <c r="T64" i="2"/>
  <c r="T61" i="2"/>
  <c r="T58" i="2"/>
  <c r="T55" i="2"/>
  <c r="T52" i="2"/>
  <c r="T49" i="2"/>
  <c r="T46" i="2"/>
  <c r="T43" i="2"/>
  <c r="T40" i="2"/>
  <c r="T37" i="2"/>
  <c r="T34" i="2"/>
  <c r="T31" i="2"/>
  <c r="T28" i="2"/>
  <c r="T25" i="2"/>
  <c r="T22" i="2"/>
  <c r="T19" i="2"/>
  <c r="T16" i="2"/>
  <c r="T13" i="2"/>
  <c r="T10" i="2"/>
  <c r="T7" i="2"/>
  <c r="W66" i="2"/>
  <c r="W63" i="2"/>
  <c r="W60" i="2"/>
  <c r="W57" i="2"/>
  <c r="W54" i="2"/>
  <c r="W51" i="2"/>
  <c r="W48" i="2"/>
  <c r="W45" i="2"/>
  <c r="W42" i="2"/>
  <c r="W39" i="2"/>
  <c r="W36" i="2"/>
  <c r="W33" i="2"/>
  <c r="W30" i="2"/>
  <c r="W27" i="2"/>
  <c r="W24" i="2"/>
  <c r="W21" i="2"/>
  <c r="W18" i="2"/>
  <c r="W15" i="2"/>
  <c r="W12" i="2"/>
  <c r="W9" i="2"/>
  <c r="W6" i="2"/>
  <c r="V66" i="2"/>
  <c r="V63" i="2"/>
  <c r="V60" i="2"/>
  <c r="V57" i="2"/>
  <c r="V54" i="2"/>
  <c r="V51" i="2"/>
  <c r="V48" i="2"/>
  <c r="V45" i="2"/>
  <c r="V42" i="2"/>
  <c r="V39" i="2"/>
  <c r="V36" i="2"/>
  <c r="V33" i="2"/>
  <c r="V30" i="2"/>
  <c r="V27" i="2"/>
  <c r="V24" i="2"/>
  <c r="V21" i="2"/>
  <c r="V18" i="2"/>
  <c r="V15" i="2"/>
  <c r="V12" i="2"/>
  <c r="V9" i="2"/>
  <c r="V6" i="2"/>
  <c r="U66" i="2"/>
  <c r="U63" i="2"/>
  <c r="U60" i="2"/>
  <c r="U57" i="2"/>
  <c r="U54" i="2"/>
  <c r="U51" i="2"/>
  <c r="U48" i="2"/>
  <c r="U45" i="2"/>
  <c r="U42" i="2"/>
  <c r="U39" i="2"/>
  <c r="U36" i="2"/>
  <c r="U33" i="2"/>
  <c r="U30" i="2"/>
  <c r="U27" i="2"/>
  <c r="U24" i="2"/>
  <c r="U21" i="2"/>
  <c r="U18" i="2"/>
  <c r="U15" i="2"/>
  <c r="U12" i="2"/>
  <c r="U9" i="2"/>
  <c r="U6" i="2"/>
  <c r="T66" i="2"/>
  <c r="T63" i="2"/>
  <c r="T60" i="2"/>
  <c r="T57" i="2"/>
  <c r="T54" i="2"/>
  <c r="T51" i="2"/>
  <c r="T48" i="2"/>
  <c r="T45" i="2"/>
  <c r="T42" i="2"/>
  <c r="T39" i="2"/>
  <c r="T36" i="2"/>
  <c r="T33" i="2"/>
  <c r="T30" i="2"/>
  <c r="T27" i="2"/>
  <c r="T24" i="2"/>
  <c r="T21" i="2"/>
  <c r="T18" i="2"/>
  <c r="T15" i="2"/>
  <c r="T12" i="2"/>
  <c r="T9" i="2"/>
  <c r="T6" i="2"/>
  <c r="W65" i="4"/>
  <c r="W62" i="4"/>
  <c r="W14" i="4"/>
  <c r="W67" i="4"/>
  <c r="W64" i="4"/>
  <c r="W61" i="4"/>
  <c r="W58" i="4"/>
  <c r="W55" i="4"/>
  <c r="W52" i="4"/>
  <c r="W49" i="4"/>
  <c r="W46" i="4"/>
  <c r="W43" i="4"/>
  <c r="W40" i="4"/>
  <c r="W37" i="4"/>
  <c r="W34" i="4"/>
  <c r="W31" i="4"/>
  <c r="W28" i="4"/>
  <c r="W25" i="4"/>
  <c r="W22" i="4"/>
  <c r="W19" i="4"/>
  <c r="W16" i="4"/>
  <c r="W13" i="4"/>
  <c r="W10" i="4"/>
  <c r="W7" i="4"/>
  <c r="V67" i="4"/>
  <c r="V64" i="4"/>
  <c r="V61" i="4"/>
  <c r="V58" i="4"/>
  <c r="V55" i="4"/>
  <c r="V52" i="4"/>
  <c r="V49" i="4"/>
  <c r="V46" i="4"/>
  <c r="V43" i="4"/>
  <c r="V40" i="4"/>
  <c r="V37" i="4"/>
  <c r="V34" i="4"/>
  <c r="V31" i="4"/>
  <c r="V28" i="4"/>
  <c r="V25" i="4"/>
  <c r="V22" i="4"/>
  <c r="V19" i="4"/>
  <c r="V16" i="4"/>
  <c r="V13" i="4"/>
  <c r="V10" i="4"/>
  <c r="V7" i="4"/>
  <c r="U67" i="4"/>
  <c r="U64" i="4"/>
  <c r="U61" i="4"/>
  <c r="U58" i="4"/>
  <c r="U55" i="4"/>
  <c r="U52" i="4"/>
  <c r="U49" i="4"/>
  <c r="U46" i="4"/>
  <c r="U43" i="4"/>
  <c r="U40" i="4"/>
  <c r="U37" i="4"/>
  <c r="U34" i="4"/>
  <c r="U31" i="4"/>
  <c r="U28" i="4"/>
  <c r="U25" i="4"/>
  <c r="U22" i="4"/>
  <c r="U19" i="4"/>
  <c r="U16" i="4"/>
  <c r="U13" i="4"/>
  <c r="U10" i="4"/>
  <c r="U7" i="4"/>
  <c r="T67" i="4"/>
  <c r="T64" i="4"/>
  <c r="T61" i="4"/>
  <c r="T58" i="4"/>
  <c r="T55" i="4"/>
  <c r="T52" i="4"/>
  <c r="T49" i="4"/>
  <c r="T46" i="4"/>
  <c r="T43" i="4"/>
  <c r="T40" i="4"/>
  <c r="T37" i="4"/>
  <c r="T34" i="4"/>
  <c r="T31" i="4"/>
  <c r="T28" i="4"/>
  <c r="T25" i="4"/>
  <c r="T16" i="4"/>
  <c r="T13" i="4"/>
  <c r="W66" i="4"/>
  <c r="W63" i="4"/>
  <c r="W60" i="4"/>
  <c r="W57" i="4"/>
  <c r="W54" i="4"/>
  <c r="W51" i="4"/>
  <c r="W48" i="4"/>
  <c r="W45" i="4"/>
  <c r="W42" i="4"/>
  <c r="W39" i="4"/>
  <c r="W36" i="4"/>
  <c r="W30" i="4"/>
  <c r="W27" i="4"/>
  <c r="W24" i="4"/>
  <c r="W18" i="4"/>
  <c r="W15" i="4"/>
  <c r="W12" i="4"/>
  <c r="W6" i="4"/>
  <c r="V66" i="4"/>
  <c r="V63" i="4"/>
  <c r="V60" i="4"/>
  <c r="V54" i="4"/>
  <c r="V51" i="4"/>
  <c r="V48" i="4"/>
  <c r="V39" i="4"/>
  <c r="V36" i="4"/>
  <c r="V27" i="4"/>
  <c r="V24" i="4"/>
  <c r="V15" i="4"/>
  <c r="V12" i="4"/>
  <c r="U66" i="4"/>
  <c r="U63" i="4"/>
  <c r="U60" i="4"/>
  <c r="U51" i="4"/>
  <c r="U48" i="4"/>
  <c r="U39" i="4"/>
  <c r="U36" i="4"/>
  <c r="U27" i="4"/>
  <c r="U24" i="4"/>
  <c r="U15" i="4"/>
  <c r="U12" i="4"/>
  <c r="T63" i="4"/>
  <c r="T51" i="4"/>
  <c r="T39" i="4"/>
  <c r="T36" i="4"/>
  <c r="T24" i="4"/>
  <c r="T12" i="4"/>
  <c r="V4" i="4"/>
  <c r="W4" i="4"/>
  <c r="V65" i="4"/>
  <c r="V62" i="4"/>
  <c r="V59" i="4"/>
  <c r="V56" i="4"/>
  <c r="V53" i="4"/>
  <c r="V50" i="4"/>
  <c r="V47" i="4"/>
  <c r="V44" i="4"/>
  <c r="V41" i="4"/>
  <c r="V38" i="4"/>
  <c r="V35" i="4"/>
  <c r="V32" i="4"/>
  <c r="V29" i="4"/>
  <c r="V26" i="4"/>
  <c r="V23" i="4"/>
  <c r="V20" i="4"/>
  <c r="V17" i="4"/>
  <c r="V14" i="4"/>
  <c r="V11" i="4"/>
  <c r="V8" i="4"/>
  <c r="V5" i="4"/>
  <c r="W38" i="4"/>
  <c r="T4" i="4"/>
  <c r="U65" i="4"/>
  <c r="U62" i="4"/>
  <c r="U59" i="4"/>
  <c r="U56" i="4"/>
  <c r="U53" i="4"/>
  <c r="U50" i="4"/>
  <c r="U47" i="4"/>
  <c r="U44" i="4"/>
  <c r="U41" i="4"/>
  <c r="U38" i="4"/>
  <c r="U35" i="4"/>
  <c r="U32" i="4"/>
  <c r="U29" i="4"/>
  <c r="U26" i="4"/>
  <c r="U23" i="4"/>
  <c r="U20" i="4"/>
  <c r="U17" i="4"/>
  <c r="U14" i="4"/>
  <c r="U11" i="4"/>
  <c r="U8" i="4"/>
  <c r="U5" i="4"/>
  <c r="W50" i="4"/>
  <c r="W26" i="4"/>
  <c r="U4" i="4"/>
  <c r="T65" i="4"/>
  <c r="T62" i="4"/>
  <c r="T59" i="4"/>
  <c r="T56" i="4"/>
  <c r="T53" i="4"/>
  <c r="T50" i="4"/>
  <c r="T47" i="4"/>
  <c r="T44" i="4"/>
  <c r="T41" i="4"/>
  <c r="T38" i="4"/>
  <c r="T35" i="4"/>
  <c r="T32" i="4"/>
  <c r="T29" i="4"/>
  <c r="T26" i="4"/>
  <c r="T23" i="4"/>
  <c r="T20" i="4"/>
  <c r="T17" i="4"/>
  <c r="T14" i="4"/>
  <c r="T11" i="4"/>
  <c r="T8" i="4"/>
  <c r="T5" i="4"/>
  <c r="W69" i="2"/>
  <c r="W71" i="4"/>
  <c r="V71" i="4"/>
  <c r="V68" i="4"/>
  <c r="W68" i="4"/>
  <c r="U71" i="4"/>
  <c r="U68" i="4"/>
  <c r="T71" i="4"/>
  <c r="T68" i="4"/>
  <c r="W70" i="4"/>
  <c r="V70" i="4"/>
  <c r="U70" i="4"/>
  <c r="T70" i="4"/>
  <c r="W69" i="4"/>
  <c r="V69" i="4"/>
  <c r="U69" i="4"/>
  <c r="T69" i="4"/>
  <c r="V69" i="2"/>
  <c r="U78" i="2"/>
  <c r="U75" i="2"/>
  <c r="U72" i="2"/>
  <c r="U69" i="2"/>
  <c r="T78" i="2"/>
  <c r="T75" i="2"/>
  <c r="T72" i="2"/>
  <c r="T69" i="2"/>
  <c r="W71" i="2"/>
  <c r="W68" i="2"/>
  <c r="V71" i="2"/>
  <c r="V68" i="2"/>
  <c r="U77" i="2"/>
  <c r="U74" i="2"/>
  <c r="U71" i="2"/>
  <c r="U68" i="2"/>
  <c r="T77" i="2"/>
  <c r="T74" i="2"/>
  <c r="T71" i="2"/>
  <c r="T68" i="2"/>
  <c r="W70" i="2"/>
  <c r="V70" i="2"/>
  <c r="U76" i="2"/>
  <c r="U73" i="2"/>
  <c r="U70" i="2"/>
  <c r="T76" i="2"/>
  <c r="T73" i="2"/>
  <c r="T7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06D2BB-E761-46E7-AA68-04AB81388AC9}" keepAlive="1" name="Query - table40_1" description="Connection to the 'table40_1' query in the workbook." type="5" refreshedVersion="0" background="1">
    <dbPr connection="Provider=Microsoft.Mashup.OleDb.1;Data Source=$Workbook$;Location=table40_1;Extended Properties=&quot;&quot;" command="SELECT * FROM [table40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<sst xmlns="http://schemas.openxmlformats.org/spreadsheetml/2006/main" count="2416" uniqueCount="770">
  <si>
    <t>000</t>
  </si>
  <si>
    <t>010</t>
  </si>
  <si>
    <t>110</t>
  </si>
  <si>
    <t>100</t>
  </si>
  <si>
    <t>CSExtend_Err XXXXXX   -2,+2,+2,-2   -1,-1,+2,+2   +2,-1,-1,+2   +2,-1,+2,-1</t>
  </si>
  <si>
    <t xml:space="preserve">               Table 40-1 Bit-to-Symbol Mapping (Even Subsets)</t>
  </si>
  <si>
    <t>Sdn[6:8]</t>
  </si>
  <si>
    <t xml:space="preserve">  Normal     000000    0, 0, 0, 0    0, 0,+1,+1    0,+1,+1, 0    0,+1, 0,+1</t>
  </si>
  <si>
    <t xml:space="preserve">  Normal     000001   -2, 0, 0, 0   -2, 0,+1,+1   -2,+1,+1, 0   -2,+1, 0,+1</t>
  </si>
  <si>
    <t xml:space="preserve">  Normal     000010    0,-2, 0, 0    0,-2,+1,+1    0,-1,+1, 0    0,-1, 0,+1</t>
  </si>
  <si>
    <t xml:space="preserve">  Normal     000011   -2,-2, 0, 0   -2,-2,+1,+1   -2,-1,+1, 0   -2,-1, 0,+1</t>
  </si>
  <si>
    <t xml:space="preserve">  Normal     000100    0, 0,-2, 0    0, 0,-1,+1    0,+1,-1, 0    0,+1,-2,+1</t>
  </si>
  <si>
    <t xml:space="preserve">  Normal     000101   -2, 0,-2, 0   -2, 0,-1,+1   -2,+1,-1, 0   -2,+1,-2,+1</t>
  </si>
  <si>
    <t xml:space="preserve">  Normal     000110    0,-2,-2, 0    0,-2,-1,+1    0,-1,-1, 0    0,-1,-2,+1</t>
  </si>
  <si>
    <t xml:space="preserve">  Normal     000111   -2,-2,-2, 0   -2,-2,-1,+1   -2,-1,-1, 0   -2,-1,-2,+1</t>
  </si>
  <si>
    <t xml:space="preserve">  Normal     001000    0, 0, 0,-2    0, 0,+1,-1    0,+1,+1,-2    0,+1, 0,-1</t>
  </si>
  <si>
    <t xml:space="preserve">  Normal     001001   -2, 0, 0,-2   -2, 0,+1,-1   -2,+1,+1,-2   -2,+1, 0,-1</t>
  </si>
  <si>
    <t xml:space="preserve">  Normal     001010    0,-2, 0,-2    0,-2,+1,-1    0,-1,+1,-2    0,-1, 0,-1</t>
  </si>
  <si>
    <t xml:space="preserve">  Normal     001011   -2,-2, 0,-2   -2,-2,+1,-1   -2,-1,+1,-2   -2,-1, 0,-1</t>
  </si>
  <si>
    <t xml:space="preserve">  Normal     001100    0, 0,-2,-2    0, 0,-1,-1    0,+1,-1,-2    0,+1,-2,-1</t>
  </si>
  <si>
    <t xml:space="preserve">  Normal     001101   -2, 0,-2,-2   -2, 0,-1,-1   -2,+1,-1,-2   -2,+1,-2,-1</t>
  </si>
  <si>
    <t xml:space="preserve">  Normal     001110    0,-2,-2,-2    0,-2,-1,-1    0,-1,-1,-2    0,-1,-2,-1</t>
  </si>
  <si>
    <t xml:space="preserve">  Normal     001111   -2,-2,-2,-2   -2,-2,-1,-1   -2,-1,-1,-2   -2,-1,-2,-1</t>
  </si>
  <si>
    <t xml:space="preserve">  Normal     010000   +1,+1,+1,+1   +1,+1, 0, 0   +1, 0, 0,+1   +1, 0,+1, 0</t>
  </si>
  <si>
    <t xml:space="preserve">  Normal     010001   -1,+1,+1,+1   -1,+1, 0, 0   -1, 0, 0,+1   -1, 0,+1, 0</t>
  </si>
  <si>
    <t xml:space="preserve">  Normal     010010   +1,-1,+1,+1   +1,-1, 0, 0   +1,-2, 0,+1   +1,-2,+1, 0</t>
  </si>
  <si>
    <t xml:space="preserve">  Normal     010011   -1,-1,+1,+1   -1,-1, 0, 0   -1,-2, 0,+1   -1,-2,+1, 0</t>
  </si>
  <si>
    <t xml:space="preserve">  Normal     010100   +1,+1,-1,+1   +1,+1,-2, 0   +1, 0,-2,+1   +1, 0,-1, 0</t>
  </si>
  <si>
    <t xml:space="preserve">  Normal     010101   -1,+1,-1,+1   -1,+1,-2, 0   -1, 0,-2,+1   -1, 0,-1, 0</t>
  </si>
  <si>
    <t xml:space="preserve">  Normal     010110   +1,-1,-1,+1   +1,-1,-2, 0   +1,-2,-2,+1   +1,-2,-1, 0</t>
  </si>
  <si>
    <t xml:space="preserve">  Normal     010111   -1,-1,-1,+1   -1,-1,-2, 0   -1,-2,-2,+1   -1,-2,-1, 0</t>
  </si>
  <si>
    <t xml:space="preserve">  Normal     011000   +1,+1,+1,-1   +1,+1, 0,-2   +1, 0, 0,-1   +1, 0,+1,-2</t>
  </si>
  <si>
    <t xml:space="preserve">  Normal     011001   -1,+1,+1,-1   -1,+1, 0,-2   -1, 0, 0,-1   -1, 0,+1,-2</t>
  </si>
  <si>
    <t xml:space="preserve">  Normal     011010   +1,-1,+1,-1   +1,-1, 0,-2   +1,-2, 0,-1   +1,-2,+1,-2</t>
  </si>
  <si>
    <t xml:space="preserve">  Normal     011011   -1,-1,+1,-1   -1,-1, 0,-2   -1,-2, 0,-1   -1,-2,+1,-2</t>
  </si>
  <si>
    <t xml:space="preserve">  Normal     011100   +1,+1,-1,-1   +1,+1,-2,-2   +1, 0,-2,-1   +1, 0,-1,-2</t>
  </si>
  <si>
    <t xml:space="preserve">  Normal     011101   -1,+1,-1,-1   -1,+1,-2,-2   -1, 0,-2,-1   -1, 0,-1,-2</t>
  </si>
  <si>
    <t xml:space="preserve">  Normal     011110   +1,-1,-1,-1   +1,-1,-2,-2   +1,-2,-2,-1   +1,-2,-1,-2</t>
  </si>
  <si>
    <t xml:space="preserve">  Normal     011111   -1,-1,-1,-1   -1,-1,-2,-2   -1,-2,-2,-1   -1,-2,-1,-2</t>
  </si>
  <si>
    <t xml:space="preserve">  Normal     100000   +2, 0, 0, 0   +2, 0,+1,+1   +2,+1,+1, 0   +2,+1, 0,+1</t>
  </si>
  <si>
    <t xml:space="preserve">  Normal     100001   +2,-2, 0, 0   +2,-2,+1,+1   +2,-1,+1, 0   +2,-1, 0,+1</t>
  </si>
  <si>
    <t xml:space="preserve">  Normal     100010   +2, 0,-2, 0   +2, 0,-1,+1   +2,+1,-1, 0   +2,+1,-2,+1</t>
  </si>
  <si>
    <t xml:space="preserve">  Normal     100011   +2,-2,-2, 0   +2,-2,-1,+1   +2,-1,-1, 0   +2,-1,-2,+1</t>
  </si>
  <si>
    <t xml:space="preserve">  Normal     100100   +2, 0, 0,-2   +2, 0,+1,-1   +2,+1,+1,-2   +2,+1, 0,-1</t>
  </si>
  <si>
    <t xml:space="preserve">  Normal     100101   +2,-2, 0,-2   +2,-2,+1,-1   +2,-1,+1,-2   +2,-1, 0,-1</t>
  </si>
  <si>
    <t xml:space="preserve">  Normal     100110   +2, 0,-2,-2   +2, 0,-1,-1   +2,+1,-1,-2   +2,+1,-2,-1</t>
  </si>
  <si>
    <t xml:space="preserve">  Normal     100111   +2,-2,-2,-2   +2,-2,-1,-1   +2,-1,-1,-2   +2,-1,-2,-1</t>
  </si>
  <si>
    <t xml:space="preserve">  Normal     101000    0, 0,+2, 0   +1,+1,+2, 0   +1, 0,+2,+1    0,+1,+2,+1</t>
  </si>
  <si>
    <t xml:space="preserve">  Normal     101001   -2, 0,+2, 0   -1,+1,+2, 0   -1, 0,+2,+1   -2,+1,+2,+1</t>
  </si>
  <si>
    <t xml:space="preserve">  Normal     101010    0,-2,+2, 0   +1,-1,+2, 0   +1,-2,+2,+1    0,-1,+2,+1</t>
  </si>
  <si>
    <t xml:space="preserve">  Normal     101011   -2,-2,+2, 0   -1,-1,+2, 0   -1,-2,+2,+1   -2,-1,+2,+1</t>
  </si>
  <si>
    <t xml:space="preserve">  Normal     101100    0, 0,+2,-2   +1,+1,+2,-2   +1, 0,+2,-1    0,+1,+2,-1</t>
  </si>
  <si>
    <t xml:space="preserve">  Normal     101101   -2, 0,+2,-2   -1,+1,+2,-2   -1, 0,+2,-1   -2,+1,+2,-1</t>
  </si>
  <si>
    <t xml:space="preserve">  Normal     101110    0,-2,+2,-2   +1,-1,+2,-2   +1,-2,+2,-1    0,-1,+2,-1</t>
  </si>
  <si>
    <t xml:space="preserve">  Normal     101111   -2,-2,+2,-2   -1,-1,+2,-2   -1,-2,+2,-1   -2,-1,+2,-1</t>
  </si>
  <si>
    <t xml:space="preserve">  Normal     110000    0,+2, 0, 0    0,+2,+1,+1   +1,+2, 0,+1   +1,+2,+1, 0</t>
  </si>
  <si>
    <t xml:space="preserve">  Normal     110001   -2,+2, 0, 0   -2,+2,+1,+1   -1,+2, 0,+1   -1,+2,+1, 0</t>
  </si>
  <si>
    <t xml:space="preserve">  Normal     110010    0,+2,-2, 0    0,+2,-1,+1   +1,+2,-2,+1   +1,+2,-1, 0</t>
  </si>
  <si>
    <t xml:space="preserve">  Normal     110011   -2,+2,-2, 0   -2,+2,-1,+1   -1,+2,-2,+1   -1,+2,-1, 0</t>
  </si>
  <si>
    <t xml:space="preserve">  Normal     110100    0,+2, 0,-2    0,+2,+1,-1   +1,+2, 0,-1   +1,+2,+1,-2</t>
  </si>
  <si>
    <t xml:space="preserve">  Normal     110101   -2,+2, 0,-2   -2,+2,+1,-1   -1,+2, 0,-1   -1,+2,+1,-2</t>
  </si>
  <si>
    <t xml:space="preserve">  Normal     110110    0,+2,-2,-2    0,+2,-1,-1   +1,+2,-2,-1   +1,+2,-1,-2</t>
  </si>
  <si>
    <t xml:space="preserve">  Normal     110111   -2,+2,-2,-2   -2,+2,-1,-1   -1,+2,-2,-1   -1,+2,-1,-2</t>
  </si>
  <si>
    <t xml:space="preserve">  Normal     111000    0, 0, 0,+2   +1,+1, 0,+2    0,+1,+1,+2   +1, 0,+1,+2</t>
  </si>
  <si>
    <t xml:space="preserve">  Normal     111001   -2, 0, 0,+2   -1,+1, 0,+2   -2,+1,+1,+2   -1, 0,+1,+2</t>
  </si>
  <si>
    <t xml:space="preserve">  Normal     111010    0,-2, 0,+2   +1,-1, 0,+2    0,-1,+1,+2   +1,-2,+1,+2</t>
  </si>
  <si>
    <t xml:space="preserve">  Normal     111011   -2,-2, 0,+2   -1,-1, 0,+2   -2,-1,+1,+2   -1,-2,+1,+2</t>
  </si>
  <si>
    <t xml:space="preserve">  Normal     111100    0, 0,-2,+2   +1,+1,-2,+2    0,+1,-1,+2   +1, 0,-1,+2</t>
  </si>
  <si>
    <t xml:space="preserve">  Normal     111101   -2, 0,-2,+2   -1,+1,-2,+2   -2,+1,-1,+2   -1, 0,-1,+2</t>
  </si>
  <si>
    <t xml:space="preserve">  Normal     111110    0,-2,-2,+2   +1,-1,-2,+2    0,-1,-1,+2   +1,-2,-1,+2</t>
  </si>
  <si>
    <t xml:space="preserve">  Normal     111111   -2,-2,-2,+2   -1,-1,-2,+2   -2,-1,-1,+2   -1,-2,-1,+2</t>
  </si>
  <si>
    <t xml:space="preserve"> xmt_err     XXXXXX    0,+2,+2, 0   +1,+1,+2,+2   +2,+1,+1,+2   +2,+1,+2,+1</t>
  </si>
  <si>
    <t xml:space="preserve">  CSExtend   XXXXXX   +2, 0, 0,+2   +2,+2,+1,+1   +1,+2,+2,+1   +1,+2,+1,+2</t>
  </si>
  <si>
    <t xml:space="preserve">  CSReset    XXXXXX   +2,-2,-2,+2   +2,+2,-1,-1   -1,+2,+2,-1   -1,+2,-1,+2</t>
  </si>
  <si>
    <t xml:space="preserve">   SSD1      XXXXXX   +2,+2,+2,+2        -             -             -</t>
  </si>
  <si>
    <t xml:space="preserve">   SSD2      XXXXXX   +2,+2,+2,-2        -             -             -</t>
  </si>
  <si>
    <t xml:space="preserve">   ESD1      XXXXXX   +2,+2,+2,+2        -             -             -</t>
  </si>
  <si>
    <t>ESD2_Ext_0   XXXXXX   +2,+2,+2,-2        -             -             -</t>
  </si>
  <si>
    <t>ESD2_Ext_1   XXXXXX   +2,+2,-2,+2        -             -             -</t>
  </si>
  <si>
    <t>ESD2_Ext_2   XXXXXX   +2,-2,+2,+2        -             -             -</t>
  </si>
  <si>
    <t>ESD_Ext_Err  XXXXXX   -2,+2,+2,+2        -             -             -</t>
  </si>
  <si>
    <t>Idle/CarrExt 000000    0, 0, 0, 0        -             -             -</t>
  </si>
  <si>
    <t>Idle/CarrExt 000001   -2, 0, 0, 0        -             -             -</t>
  </si>
  <si>
    <t>Idle/CarrExt 000010    0,-2, 0, 0        -             -             -</t>
  </si>
  <si>
    <t>Idle/CarrExt 000011   -2,-2, 0, 0        -             -             -</t>
  </si>
  <si>
    <t>Idle/CarrExt 000100    0, 0,-2, 0        -             -             -</t>
  </si>
  <si>
    <t>Idle/CarrExt 000101   -2, 0,-2, 0        -             -             -</t>
  </si>
  <si>
    <t>Idle/CarrExt 000110    0,-2,-2, 0        -             -             -</t>
  </si>
  <si>
    <t>Idle/CarrExt 000111   -2,-2,-2, 0        -             -             -</t>
  </si>
  <si>
    <t>Idle/CarrExt 001000    0, 0, 0,-2        -             -             -</t>
  </si>
  <si>
    <t>Idle/CarrExt 001001   -2, 0, 0,-2        -             -             -</t>
  </si>
  <si>
    <t>Idle/CarrExt 001010    0,-2, 0,-2        -             -             -</t>
  </si>
  <si>
    <t>Idle/CarrExt 001011   -2,-2, 0,-2        -             -             -</t>
  </si>
  <si>
    <t>Idle/CarrExt 001100    0, 0,-2,-2        -             -             -</t>
  </si>
  <si>
    <t>Idle/CarrExt 001101   -2, 0,-2,-2        -             -             -</t>
  </si>
  <si>
    <t>Idle/CarrExt 001110    0,-2,-2,-2        -             -             -</t>
  </si>
  <si>
    <t>Idle/CarrExt 001111   -2,-2,-2,-2        -             -             -</t>
  </si>
  <si>
    <t>Condition</t>
  </si>
  <si>
    <t>Sdn[5:0]</t>
  </si>
  <si>
    <t>Code</t>
  </si>
  <si>
    <t>Original Text</t>
  </si>
  <si>
    <t xml:space="preserve">  Normal     000000    0, 0, 0,+1    0, 0,+1, 0    0,+1,+1,+1    0,+1, 0, 0</t>
  </si>
  <si>
    <t xml:space="preserve">  Normal     000001   -2, 0, 0,+1   -2, 0,+1, 0   -2,+1,+1,+1   -2,+1, 0, 0</t>
  </si>
  <si>
    <t xml:space="preserve">  Normal     000010    0,-2, 0,+1    0,-2,+1, 0    0,-1,+1,+1    0,-1, 0, 0</t>
  </si>
  <si>
    <t xml:space="preserve">  Normal     000011   -2,-2, 0,+1   -2,-2,+1, 0   -2,-1,+1,+1   -2,-1, 0, 0</t>
  </si>
  <si>
    <t xml:space="preserve">  Normal     000100    0, 0,-2,+1    0, 0,-1, 0    0,+1,-1,+1    0,+1,-2, 0</t>
  </si>
  <si>
    <t xml:space="preserve">  Normal     000101   -2, 0,-2,+1   -2, 0,-1, 0   -2,+1,-1,+1   -2,+1,-2, 0</t>
  </si>
  <si>
    <t xml:space="preserve">  Normal     000110    0,-2,-2,+1    0,-2,-1, 0    0,-1,-1,+1    0,-1,-2, 0</t>
  </si>
  <si>
    <t xml:space="preserve">  Normal     000111   -2,-2,-2,+1   -2,-2,-1, 0   -2,-1,-1,+1   -2,-1,-2, 0</t>
  </si>
  <si>
    <t xml:space="preserve">  Normal     001000    0, 0, 0,-1    0, 0,+1,-2    0,+1,+1,-1    0,+1, 0,-2</t>
  </si>
  <si>
    <t xml:space="preserve">  Normal     001001   -2, 0, 0,-1   -2, 0,+1,-2   -2,+1,+1,-1   -2,+1, 0,-2</t>
  </si>
  <si>
    <t xml:space="preserve">  Normal     001010    0,-2, 0,-1    0,-2,+1,-2    0,-1,+1,-1    0,-1, 0,-2</t>
  </si>
  <si>
    <t xml:space="preserve">  Normal     001011   -2,-2, 0,-1   -2,-2,+1,-2   -2,-1,+1,-1   -2,-1, 0,-2</t>
  </si>
  <si>
    <t xml:space="preserve">  Normal     001100    0, 0,-2,-1    0, 0,-1,-2    0,+1,-1,-1    0,+1,-2,-2</t>
  </si>
  <si>
    <t xml:space="preserve">  Normal     001101   -2, 0,-2,-1   -2, 0,-1,-2   -2,+1,-1,-1   -2,+1,-2,-2</t>
  </si>
  <si>
    <t xml:space="preserve">  Normal     001110    0,-2,-2,-1    0,-2,-1,-2    0,-1,-1,-1    0,-1,-2,-2</t>
  </si>
  <si>
    <t xml:space="preserve">  Normal     001111   -2,-2,-2,-1   -2,-2,-1,-2   -2,-1,-1,-1   -2,-1,-2,-2</t>
  </si>
  <si>
    <t xml:space="preserve">  Normal     010000   +1,+1,+1, 0   +1,+1, 0,+1   +1, 0, 0, 0   +1, 0,+1,+1</t>
  </si>
  <si>
    <t xml:space="preserve">  Normal     010001   -1,+1,+1, 0   -1,+1, 0,+1   -1, 0, 0, 0   -1, 0,+1,+1</t>
  </si>
  <si>
    <t xml:space="preserve">  Normal     010010   +1,-1,+1, 0   +1,-1, 0,+1   +1,-2, 0, 0   +1,-2,+1,+1</t>
  </si>
  <si>
    <t xml:space="preserve">  Normal     010011   -1,-1,+1, 0   -1,-1, 0,+1   -1,-2, 0, 0   -1,-2,+1,+1</t>
  </si>
  <si>
    <t xml:space="preserve">  Normal     010100   +1,+1,-1, 0   +1,+1,-2,+1   +1, 0,-2, 0   +1, 0,-1,+1</t>
  </si>
  <si>
    <t xml:space="preserve">  Normal     010101   -1,+1,-1, 0   -1,+1,-2,+1   -1, 0,-2, 0   -1, 0,-1,+1</t>
  </si>
  <si>
    <t xml:space="preserve">  Normal     010110   +1,-1,-1, 0   +1,-1,-2,+1   +1,-2,-2, 0   +1,-2,-1,+1</t>
  </si>
  <si>
    <t xml:space="preserve">  Normal     010111   -1,-1,-1, 0   -1,-1,-2,+1   -1,-2,-2, 0   -1,-2,-1,+1</t>
  </si>
  <si>
    <t xml:space="preserve">  Normal     011000   +1,+1,+1,-2   +1,+1, 0,-1   +1, 0, 0,-2   +1, 0,+1,-1</t>
  </si>
  <si>
    <t xml:space="preserve">  Normal     011001   -1,+1,+1,-2   -1,+1, 0,-1   -1, 0, 0,-2   -1, 0,+1,-1</t>
  </si>
  <si>
    <t xml:space="preserve">  Normal     011010   +1,-1,+1,-2   +1,-1, 0,-1   +1,-2, 0,-2   +1,-2,+1,-1</t>
  </si>
  <si>
    <t xml:space="preserve">  Normal     011011   -1,-1,+1,-2   -1,-1, 0,-1   -1,-2, 0,-2   -1,-2,+1,-1</t>
  </si>
  <si>
    <t xml:space="preserve">  Normal     011100   +1,+1,-1,-2   +1,+1,-2,-1   +1, 0,-2,-2   +1, 0,-1,-1</t>
  </si>
  <si>
    <t xml:space="preserve">  Normal     011101   -1,+1,-1,-2   -1,+1,-2,-1   -1, 0,-2,-2   -1, 0,-1,-1</t>
  </si>
  <si>
    <t xml:space="preserve">  Normal     011110   +1,-1,-1,-2   +1,-1,-2,-1   +1,-2,-2,-2   +1,-2,-1,-1</t>
  </si>
  <si>
    <t xml:space="preserve">  Normal     011111   -1,-1,-1,-2   -1,-1,-2,-1   -1,-2,-2,-2   -1,-2,-1,-1</t>
  </si>
  <si>
    <t xml:space="preserve">  Normal     100000   +2, 0, 0,+1   +2, 0,+1, 0   +2,+1,+1,+1   +2,+1, 0, 0</t>
  </si>
  <si>
    <t xml:space="preserve">  Normal     100001   +2,-2, 0,+1   +2,-2,+1, 0   +2,-1,+1,+1   +2,-1, 0, 0</t>
  </si>
  <si>
    <t xml:space="preserve">  Normal     100010   +2, 0,-2,+1   +2, 0,-1, 0   +2,+1,-1,+1   +2,+1,-2, 0</t>
  </si>
  <si>
    <t xml:space="preserve">  Normal     100011   +2,-2,-2,+1   +2,-2,-1, 0   +2,-1,-1,+1   +2,-1,-2, 0</t>
  </si>
  <si>
    <t xml:space="preserve">  Normal     100100   +2, 0, 0,-1   +2, 0,+1,-2   +2,+1,+1,-1   +2,+1, 0,-2</t>
  </si>
  <si>
    <t xml:space="preserve">  Normal     100101   +2,-2, 0,-1   +2,-2,+1,-2   +2,-1,+1,-1   +2,-1, 0,-2</t>
  </si>
  <si>
    <t xml:space="preserve">  Normal     100110   +2, 0,-2,-1   +2, 0,-1,-2   +2,+1,-1,-1   +2,+1,-2,-2</t>
  </si>
  <si>
    <t xml:space="preserve">  Normal     100111   +2,-2,-2,-1   +2,-2,-1,-2   +2,-1,-1,-1   +2,-1,-2,-2</t>
  </si>
  <si>
    <t xml:space="preserve">  Normal     101000    0, 0,+2,+1   +1,+1,+2,+1   +1, 0,+2, 0    0,+1,+2, 0</t>
  </si>
  <si>
    <t xml:space="preserve">  Normal     101001   -2, 0,+2,+1   -1,+1,+2,+1   -1, 0,+2, 0   -2,+1,+2, 0</t>
  </si>
  <si>
    <t xml:space="preserve">  Normal     101010    0,-2,+2,+1   +1,-1,+2,+1   +1,-2,+2, 0    0,-1,+2, 0</t>
  </si>
  <si>
    <t xml:space="preserve">  Normal     101011   -2,-2,+2,+1   -1,-1,+2,+1   -1,-2,+2, 0   -2,-1,+2, 0</t>
  </si>
  <si>
    <t xml:space="preserve">  Normal     101100    0, 0,+2,-1   +1,+1,+2,-1   +1, 0,+2,-2    0,+1,+2,-2</t>
  </si>
  <si>
    <t xml:space="preserve">  Normal     101101   -2, 0,+2,-1   -1,+1,+2,-1   -1, 0,+2,-2   -2,+1,+2,-2</t>
  </si>
  <si>
    <t xml:space="preserve">  Normal     101110    0,-2,+2,-1   +1,-1,+2,-1   +1,-2,+2,-2    0,-1,+2,-2</t>
  </si>
  <si>
    <t xml:space="preserve">  Normal     101111   -2,-2,+2,-1   -1,-1,+2,-1   -1,-2,+2,-2   -2,-1,+2,-2</t>
  </si>
  <si>
    <t xml:space="preserve">  Normal     110000    0,+2, 0,+1    0,+2,+1, 0   +1,+2, 0, 0   +1,+2,+1,+1</t>
  </si>
  <si>
    <t xml:space="preserve">  Normal     110001   -2,+2, 0,+1   -2,+2,+1, 0   -1,+2, 0, 0   -1,+2,+1,+1</t>
  </si>
  <si>
    <t xml:space="preserve">  Normal     110010    0,+2,-2,+1    0,+2,-1, 0   +1,+2,-2, 0   +1,+2,-1,+1</t>
  </si>
  <si>
    <t xml:space="preserve">  Normal     110011   -2,+2,-2,+1   -2,+2,-1, 0   -1,+2,-2, 0   -1,+2,-1,+1</t>
  </si>
  <si>
    <t xml:space="preserve">  Normal     110100    0,+2, 0,-1    0,+2,+1,-2   +1,+2, 0,-2   +1,+2,+1,-1</t>
  </si>
  <si>
    <t xml:space="preserve">  Normal     110101   -2,+2, 0,-1   -2,+2,+1,-2   -1,+2, 0,-2   -1,+2,+1,-1</t>
  </si>
  <si>
    <t xml:space="preserve">  Normal     110110    0,+2,-2,-1    0,+2,-1,-2   +1,+2,-2,-2   +1,+2,-1,-1</t>
  </si>
  <si>
    <t xml:space="preserve">  Normal     110111   -2,+2,-2,-1   -2,+2,-1,-2   -1,+2,-2,-2   -1,+2,-1,-1</t>
  </si>
  <si>
    <t xml:space="preserve">  Normal     111000   +1,+1,+1,+2    0, 0,+1,+2   +1, 0, 0,+2    0,+1, 0,+2</t>
  </si>
  <si>
    <t xml:space="preserve">  Normal     111001   -1,+1,+1,+2   -2, 0,+1,+2   -1, 0, 0,+2   -2,+1, 0,+2</t>
  </si>
  <si>
    <t xml:space="preserve">  Normal     111010   +1,-1,+1,+2    0,-2,+1,+2   +1,-2, 0,+2    0,-1, 0,+2</t>
  </si>
  <si>
    <t xml:space="preserve">  Normal     111011   -1,-1,+1,+2   -2,-2,+1,+2   -1,-2, 0,+2   -2,-1, 0,+2</t>
  </si>
  <si>
    <t xml:space="preserve">  Normal     111100   +1,+1,-1,+2    0, 0,-1,+2   +1, 0,-2,+2    0,+1,-2,+2</t>
  </si>
  <si>
    <t xml:space="preserve">  Normal     111101   -1,+1,-1,+2   -2, 0,-1,+2   -1, 0,-2,+2   -2,+1,-2,+2</t>
  </si>
  <si>
    <t xml:space="preserve">  Normal     111110   +1,-1,-1,+2    0,-2,-1,+2   +1,-2,-2,+2    0,-1,-2,+2</t>
  </si>
  <si>
    <t xml:space="preserve">  Normal     111111   -1,-1,-1,+2   -2,-2,-1,+2   -1,-2,-2,+2   -2,-1,-2,+2</t>
  </si>
  <si>
    <t xml:space="preserve">  xmt_err    XXXXXX   +2,+2, 0,+1    0,+2,+1,+2   +1,+2,+2, 0   +2,+1,+2, 0</t>
  </si>
  <si>
    <t>CSExtend_Err XXXXXX   +2,+2,-2,-1   -2,+2,-1,+2   -1,+2,+2,-2   +2,-1,+2,-2</t>
  </si>
  <si>
    <t xml:space="preserve"> CSExtend    XXXXXX   +2, 0,+2,+1   +2, 0,+1,+2   +1, 0,+2,+2   +2,+1, 0,+2</t>
  </si>
  <si>
    <t xml:space="preserve"> CSReset     XXXXXX   +2,-2,+2,-1   +2,-2,-1,+2   -1,-2,+2,+2   +2,-1,-2,+2</t>
  </si>
  <si>
    <t>001</t>
  </si>
  <si>
    <t>011</t>
  </si>
  <si>
    <t>101</t>
  </si>
  <si>
    <t>111</t>
  </si>
  <si>
    <t>Sdn[8:6]</t>
  </si>
  <si>
    <t>000000</t>
  </si>
  <si>
    <t>000001</t>
  </si>
  <si>
    <t>000010</t>
  </si>
  <si>
    <t>000011</t>
  </si>
  <si>
    <t>000100</t>
  </si>
  <si>
    <t>000101</t>
  </si>
  <si>
    <t>000110</t>
  </si>
  <si>
    <t>000111</t>
  </si>
  <si>
    <t>001000</t>
  </si>
  <si>
    <t>001001</t>
  </si>
  <si>
    <t>001010</t>
  </si>
  <si>
    <t>001011</t>
  </si>
  <si>
    <t>001100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</si>
  <si>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</si>
  <si>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</si>
  <si>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</si>
  <si>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</si>
  <si>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</si>
  <si>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</si>
  <si>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</si>
  <si>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</si>
  <si>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</si>
  <si>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</si>
  <si>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</si>
  <si>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</si>
  <si>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</si>
  <si>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</si>
  <si>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</si>
  <si>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</si>
  <si>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</si>
  <si>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</t>
  </si>
  <si>
    <t>{3'sd0,  3'sd0,  3'sd0,  3'sd0} : sdn_recovered = {3'b000, 6'b000000}; // Col [000]</t>
  </si>
  <si>
    <t>Normal</t>
  </si>
  <si>
    <t>+1</t>
  </si>
  <si>
    <t>-2</t>
  </si>
  <si>
    <t>{3'sd-2,  3'sd0,  3'sd0,  3'sd0} : sdn_recovered = {3'b000, 6'b000001}; // Col [000]</t>
  </si>
  <si>
    <t>-1</t>
  </si>
  <si>
    <t>{3'sd0,  3'sd-2,  3'sd0,  3'sd0} : sdn_recovered = {3'b000, 6'b000010}; // Col [000]</t>
  </si>
  <si>
    <t>{3'sd-2,  3'sd-2,  3'sd0,  3'sd0} : sdn_recovered = {3'b000, 6'b000011}; // Col [000]</t>
  </si>
  <si>
    <t>{3'sd0,  3'sd0,  3'sd-2,  3'sd0} : sdn_recovered = {3'b000, 6'b000100}; // Col [000]</t>
  </si>
  <si>
    <t>{3'sd-2,  3'sd0,  3'sd-2,  3'sd0} : sdn_recovered = {3'b000, 6'b000101}; // Col [000]</t>
  </si>
  <si>
    <t>{3'sd0,  3'sd-2,  3'sd-2,  3'sd0} : sdn_recovered = {3'b000, 6'b000110}; // Col [000]</t>
  </si>
  <si>
    <t>{3'sd0,  3'sd-1,  3'sd-1,  3'sd0} : sdn_recovered = {3'b100, 6'b000110}; // Col [100]</t>
  </si>
  <si>
    <t>{3'sd-2,  3'sd-2,  3'sd-2,  3'sd0} : sdn_recovered = {3'b000, 6'b000111}; // Col [000]</t>
  </si>
  <si>
    <t>{3'sd-2,  3'sd-1,  3'sd-1,  3'sd0} : sdn_recovered = {3'b100, 6'b000111}; // Col [100]</t>
  </si>
  <si>
    <t>{3'sd0,  3'sd0,  3'sd0,  3'sd-2} : sdn_recovered = {3'b000, 6'b001000}; // Col [000]</t>
  </si>
  <si>
    <t>{3'sd-2,  3'sd0,  3'sd0,  3'sd-2} : sdn_recovered = {3'b000, 6'b001001}; // Col [000]</t>
  </si>
  <si>
    <t>{3'sd0,  3'sd-2,  3'sd0,  3'sd-2} : sdn_recovered = {3'b000, 6'b001010}; // Col [000]</t>
  </si>
  <si>
    <t>{3'sd0,  3'sd-1,  3'sd0,  3'sd-1} : sdn_recovered = {3'b110, 6'b001010}; // Col [110]</t>
  </si>
  <si>
    <t>{3'sd-2,  3'sd-2,  3'sd0,  3'sd-2} : sdn_recovered = {3'b000, 6'b001011}; // Col [000]</t>
  </si>
  <si>
    <t>{3'sd-2,  3'sd-1,  3'sd0,  3'sd-1} : sdn_recovered = {3'b110, 6'b001011}; // Col [110]</t>
  </si>
  <si>
    <t>{3'sd0,  3'sd0,  3'sd-2,  3'sd-2} : sdn_recovered = {3'b000, 6'b001100}; // Col [000]</t>
  </si>
  <si>
    <t>{3'sd0,  3'sd0,  3'sd-1,  3'sd-1} : sdn_recovered = {3'b010, 6'b001100}; // Col [010]</t>
  </si>
  <si>
    <t>{3'sd-2,  3'sd0,  3'sd-2,  3'sd-2} : sdn_recovered = {3'b000, 6'b001101}; // Col [000]</t>
  </si>
  <si>
    <t>{3'sd-2,  3'sd0,  3'sd-1,  3'sd-1} : sdn_recovered = {3'b010, 6'b001101}; // Col [010]</t>
  </si>
  <si>
    <t>{3'sd0,  3'sd-2,  3'sd-2,  3'sd-2} : sdn_recovered = {3'b000, 6'b001110}; // Col [000]</t>
  </si>
  <si>
    <t>{3'sd0,  3'sd-2,  3'sd-1,  3'sd-1} : sdn_recovered = {3'b010, 6'b001110}; // Col [010]</t>
  </si>
  <si>
    <t>{3'sd0,  3'sd-1,  3'sd-1,  3'sd-2} : sdn_recovered = {3'b100, 6'b001110}; // Col [100]</t>
  </si>
  <si>
    <t>{3'sd0,  3'sd-1,  3'sd-2,  3'sd-1} : sdn_recovered = {3'b110, 6'b001110}; // Col [110]</t>
  </si>
  <si>
    <t>{3'sd-2,  3'sd-2,  3'sd-2,  3'sd-2} : sdn_recovered = {3'b000, 6'b001111}; // Col [000]</t>
  </si>
  <si>
    <t>{3'sd-2,  3'sd-2,  3'sd-1,  3'sd-1} : sdn_recovered = {3'b010, 6'b001111}; // Col [010]</t>
  </si>
  <si>
    <t>{3'sd-2,  3'sd-1,  3'sd-1,  3'sd-2} : sdn_recovered = {3'b100, 6'b001111}; // Col [100]</t>
  </si>
  <si>
    <t>{3'sd-2,  3'sd-1,  3'sd-2,  3'sd-1} : sdn_recovered = {3'b110, 6'b001111}; // Col [110]</t>
  </si>
  <si>
    <t>{3'sd-1,  3'sd-1,  3'sd0,  3'sd0} : sdn_recovered = {3'b010, 6'b010011}; // Col [010]</t>
  </si>
  <si>
    <t>{3'sd-1,  3'sd0,  3'sd-1,  3'sd0} : sdn_recovered = {3'b110, 6'b010101}; // Col [110]</t>
  </si>
  <si>
    <t>{3'sd-1,  3'sd-1,  3'sd-2,  3'sd0} : sdn_recovered = {3'b010, 6'b010111}; // Col [010]</t>
  </si>
  <si>
    <t>{3'sd-1,  3'sd-2,  3'sd-1,  3'sd0} : sdn_recovered = {3'b110, 6'b010111}; // Col [110]</t>
  </si>
  <si>
    <t>{3'sd-1,  3'sd0,  3'sd0,  3'sd-1} : sdn_recovered = {3'b100, 6'b011001}; // Col [100]</t>
  </si>
  <si>
    <t>{3'sd-1,  3'sd-1,  3'sd0,  3'sd-2} : sdn_recovered = {3'b010, 6'b011011}; // Col [010]</t>
  </si>
  <si>
    <t>{3'sd-1,  3'sd-2,  3'sd0,  3'sd-1} : sdn_recovered = {3'b100, 6'b011011}; // Col [100]</t>
  </si>
  <si>
    <t>{3'sd-1,  3'sd0,  3'sd-2,  3'sd-1} : sdn_recovered = {3'b100, 6'b011101}; // Col [100]</t>
  </si>
  <si>
    <t>{3'sd-1,  3'sd0,  3'sd-1,  3'sd-2} : sdn_recovered = {3'b110, 6'b011101}; // Col [110]</t>
  </si>
  <si>
    <t>011110</t>
  </si>
  <si>
    <t>011111</t>
  </si>
  <si>
    <t>{3'sd-1,  3'sd-1,  3'sd-1,  3'sd-1} : sdn_recovered = {3'b000, 6'b011111}; // Col [000]</t>
  </si>
  <si>
    <t>{3'sd-1,  3'sd-1,  3'sd-2,  3'sd-2} : sdn_recovered = {3'b010, 6'b011111}; // Col [010]</t>
  </si>
  <si>
    <t>{3'sd-1,  3'sd-2,  3'sd-2,  3'sd-1} : sdn_recovered = {3'b100, 6'b011111}; // Col [100]</t>
  </si>
  <si>
    <t>{3'sd-1,  3'sd-2,  3'sd-1,  3'sd-2} : sdn_recovered = {3'b110, 6'b011111}; // Col [110]</t>
  </si>
  <si>
    <t>100000</t>
  </si>
  <si>
    <t>+2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</si>
  <si>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</si>
  <si>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</si>
  <si>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</si>
  <si>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</si>
  <si>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</si>
  <si>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</si>
  <si>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</si>
  <si>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</si>
  <si>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</si>
  <si>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</si>
  <si>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</si>
  <si>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</si>
  <si>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</si>
  <si>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</si>
  <si>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</si>
  <si>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</si>
  <si>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</si>
  <si>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</si>
  <si>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</si>
  <si>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</si>
  <si>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</si>
  <si>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</si>
  <si>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</si>
  <si>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</si>
  <si>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</si>
  <si>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</si>
  <si>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111011</t>
  </si>
  <si>
    <t>111100</t>
  </si>
  <si>
    <t>111101</t>
  </si>
  <si>
    <t>111110</t>
  </si>
  <si>
    <t>111111</t>
  </si>
  <si>
    <t>xmt_err</t>
  </si>
  <si>
    <t>XXXXXX</t>
  </si>
  <si>
    <t>CSExtend_Err</t>
  </si>
  <si>
    <t>CSExtend</t>
  </si>
  <si>
    <t>CSReset</t>
  </si>
  <si>
    <t>SSD1</t>
  </si>
  <si>
    <t>-</t>
  </si>
  <si>
    <t>SSD2</t>
  </si>
  <si>
    <t>ESD1</t>
  </si>
  <si>
    <t>ESD2_Ext_0</t>
  </si>
  <si>
    <t>ESD2_Ext_1</t>
  </si>
  <si>
    <t>ESD2_Ext_2</t>
  </si>
  <si>
    <t>ESD_Ext_Err</t>
  </si>
  <si>
    <t>Idle/CarrExt</t>
  </si>
  <si>
    <t>{3'sd0,  3'sd0,  3'sd1,  3'sd1} : sdn_recovered = {3'b010, 6'b000000}; // Col [010]</t>
  </si>
  <si>
    <t>{3'sd0,  3'sd1,  3'sd1,  3'sd0} : sdn_recovered = {3'b100, 6'b000000}; // Col [100]</t>
  </si>
  <si>
    <t>{3'sd0,  3'sd1,  3'sd0,  3'sd1} : sdn_recovered = {3'b110, 6'b000000}; // Col [110]</t>
  </si>
  <si>
    <t>{3'sd-2,  3'sd0,  3'sd1,  3'sd1} : sdn_recovered = {3'b010, 6'b000001}; // Col [010]</t>
  </si>
  <si>
    <t>{3'sd-2,  3'sd1,  3'sd1,  3'sd0} : sdn_recovered = {3'b100, 6'b000001}; // Col [100]</t>
  </si>
  <si>
    <t>{3'sd-2,  3'sd1,  3'sd0,  3'sd1} : sdn_recovered = {3'b110, 6'b000001}; // Col [110]</t>
  </si>
  <si>
    <t>{3'sd0,  3'sd-2,  3'sd1,  3'sd1} : sdn_recovered = {3'b010, 6'b000010}; // Col [010]</t>
  </si>
  <si>
    <t>{3'sd0,  3'sd-1,  3'sd1,  3'sd0} : sdn_recovered = {3'b100, 6'b000010}; // Col [100]</t>
  </si>
  <si>
    <t>{3'sd0,  3'sd-1,  3'sd0,  3'sd1} : sdn_recovered = {3'b110, 6'b000010}; // Col [110]</t>
  </si>
  <si>
    <t>{3'sd-2,  3'sd-2,  3'sd1,  3'sd1} : sdn_recovered = {3'b010, 6'b000011}; // Col [010]</t>
  </si>
  <si>
    <t>{3'sd-2,  3'sd-1,  3'sd1,  3'sd0} : sdn_recovered = {3'b100, 6'b000011}; // Col [100]</t>
  </si>
  <si>
    <t>{3'sd-2,  3'sd-1,  3'sd0,  3'sd1} : sdn_recovered = {3'b110, 6'b000011}; // Col [110]</t>
  </si>
  <si>
    <t>{3'sd0,  3'sd0,  3'sd-1,  3'sd1} : sdn_recovered = {3'b010, 6'b000100}; // Col [010]</t>
  </si>
  <si>
    <t>{3'sd0,  3'sd1,  3'sd-1,  3'sd0} : sdn_recovered = {3'b100, 6'b000100}; // Col [100]</t>
  </si>
  <si>
    <t>{3'sd0,  3'sd1,  3'sd-2,  3'sd1} : sdn_recovered = {3'b110, 6'b000100}; // Col [110]</t>
  </si>
  <si>
    <t>{3'sd-2,  3'sd0,  3'sd-1,  3'sd1} : sdn_recovered = {3'b010, 6'b000101}; // Col [010]</t>
  </si>
  <si>
    <t>{3'sd-2,  3'sd1,  3'sd-1,  3'sd0} : sdn_recovered = {3'b100, 6'b000101}; // Col [100]</t>
  </si>
  <si>
    <t>{3'sd-2,  3'sd1,  3'sd-2,  3'sd1} : sdn_recovered = {3'b110, 6'b000101}; // Col [110]</t>
  </si>
  <si>
    <t>{3'sd0,  3'sd-2,  3'sd-1,  3'sd1} : sdn_recovered = {3'b010, 6'b000110}; // Col [010]</t>
  </si>
  <si>
    <t>{3'sd0,  3'sd-1,  3'sd-2,  3'sd1} : sdn_recovered = {3'b110, 6'b000110}; // Col [110]</t>
  </si>
  <si>
    <t>{3'sd-2,  3'sd-2,  3'sd-1,  3'sd1} : sdn_recovered = {3'b010, 6'b000111}; // Col [010]</t>
  </si>
  <si>
    <t>{3'sd-2,  3'sd-1,  3'sd-2,  3'sd1} : sdn_recovered = {3'b110, 6'b000111}; // Col [110]</t>
  </si>
  <si>
    <t>{3'sd0,  3'sd0,  3'sd1,  3'sd-1} : sdn_recovered = {3'b010, 6'b001000}; // Col [010]</t>
  </si>
  <si>
    <t>{3'sd0,  3'sd1,  3'sd1,  3'sd-2} : sdn_recovered = {3'b100, 6'b001000}; // Col [100]</t>
  </si>
  <si>
    <t>{3'sd0,  3'sd1,  3'sd0,  3'sd-1} : sdn_recovered = {3'b110, 6'b001000}; // Col [110]</t>
  </si>
  <si>
    <t>{3'sd-2,  3'sd0,  3'sd1,  3'sd-1} : sdn_recovered = {3'b010, 6'b001001}; // Col [010]</t>
  </si>
  <si>
    <t>{3'sd-2,  3'sd1,  3'sd1,  3'sd-2} : sdn_recovered = {3'b100, 6'b001001}; // Col [100]</t>
  </si>
  <si>
    <t>{3'sd-2,  3'sd1,  3'sd0,  3'sd-1} : sdn_recovered = {3'b110, 6'b001001}; // Col [110]</t>
  </si>
  <si>
    <t>{3'sd0,  3'sd-2,  3'sd1,  3'sd-1} : sdn_recovered = {3'b010, 6'b001010}; // Col [010]</t>
  </si>
  <si>
    <t>{3'sd0,  3'sd-1,  3'sd1,  3'sd-2} : sdn_recovered = {3'b100, 6'b001010}; // Col [100]</t>
  </si>
  <si>
    <t>{3'sd-2,  3'sd-2,  3'sd1,  3'sd-1} : sdn_recovered = {3'b010, 6'b001011}; // Col [010]</t>
  </si>
  <si>
    <t>{3'sd-2,  3'sd-1,  3'sd1,  3'sd-2} : sdn_recovered = {3'b100, 6'b001011}; // Col [100]</t>
  </si>
  <si>
    <t>{3'sd0,  3'sd1,  3'sd-1,  3'sd-2} : sdn_recovered = {3'b100, 6'b001100}; // Col [100]</t>
  </si>
  <si>
    <t>{3'sd0,  3'sd1,  3'sd-2,  3'sd-1} : sdn_recovered = {3'b110, 6'b001100}; // Col [110]</t>
  </si>
  <si>
    <t>{3'sd-2,  3'sd1,  3'sd-1,  3'sd-2} : sdn_recovered = {3'b100, 6'b001101}; // Col [100]</t>
  </si>
  <si>
    <t>{3'sd-2,  3'sd1,  3'sd-2,  3'sd-1} : sdn_recovered = {3'b110, 6'b001101}; // Col [110]</t>
  </si>
  <si>
    <t>{3'sd1,  3'sd1,  3'sd1,  3'sd1} : sdn_recovered = {3'b000, 6'b010000}; // Col [000]</t>
  </si>
  <si>
    <t>{3'sd1,  3'sd1,  3'sd0,  3'sd0} : sdn_recovered = {3'b010, 6'b010000}; // Col [010]</t>
  </si>
  <si>
    <t>{3'sd1,  3'sd0,  3'sd0,  3'sd1} : sdn_recovered = {3'b100, 6'b010000}; // Col [100]</t>
  </si>
  <si>
    <t>{3'sd1,  3'sd0,  3'sd1,  3'sd0} : sdn_recovered = {3'b110, 6'b010000}; // Col [110]</t>
  </si>
  <si>
    <t>{3'sd-1,  3'sd1,  3'sd1,  3'sd1} : sdn_recovered = {3'b000, 6'b010001}; // Col [000]</t>
  </si>
  <si>
    <t>{3'sd-1,  3'sd1,  3'sd0,  3'sd0} : sdn_recovered = {3'b010, 6'b010001}; // Col [010]</t>
  </si>
  <si>
    <t>{3'sd-1,  3'sd0,  3'sd0,  3'sd1} : sdn_recovered = {3'b100, 6'b010001}; // Col [100]</t>
  </si>
  <si>
    <t>{3'sd-1,  3'sd0,  3'sd1,  3'sd0} : sdn_recovered = {3'b110, 6'b010001}; // Col [110]</t>
  </si>
  <si>
    <t>{3'sd1,  3'sd-1,  3'sd1,  3'sd1} : sdn_recovered = {3'b000, 6'b010010}; // Col [000]</t>
  </si>
  <si>
    <t>{3'sd1,  3'sd-1,  3'sd0,  3'sd0} : sdn_recovered = {3'b010, 6'b010010}; // Col [010]</t>
  </si>
  <si>
    <t>{3'sd1,  3'sd-2,  3'sd0,  3'sd1} : sdn_recovered = {3'b100, 6'b010010}; // Col [100]</t>
  </si>
  <si>
    <t>{3'sd1,  3'sd-2,  3'sd1,  3'sd0} : sdn_recovered = {3'b110, 6'b010010}; // Col [110]</t>
  </si>
  <si>
    <t>{3'sd-1,  3'sd-1,  3'sd1,  3'sd1} : sdn_recovered = {3'b000, 6'b010011}; // Col [000]</t>
  </si>
  <si>
    <t>{3'sd-1,  3'sd-2,  3'sd0,  3'sd1} : sdn_recovered = {3'b100, 6'b010011}; // Col [100]</t>
  </si>
  <si>
    <t>{3'sd-1,  3'sd-2,  3'sd1,  3'sd0} : sdn_recovered = {3'b110, 6'b010011}; // Col [110]</t>
  </si>
  <si>
    <t>{3'sd1,  3'sd1,  3'sd-1,  3'sd1} : sdn_recovered = {3'b000, 6'b010100}; // Col [000]</t>
  </si>
  <si>
    <t>{3'sd1,  3'sd1,  3'sd-2,  3'sd0} : sdn_recovered = {3'b010, 6'b010100}; // Col [010]</t>
  </si>
  <si>
    <t>{3'sd1,  3'sd0,  3'sd-2,  3'sd1} : sdn_recovered = {3'b100, 6'b010100}; // Col [100]</t>
  </si>
  <si>
    <t>{3'sd1,  3'sd0,  3'sd-1,  3'sd0} : sdn_recovered = {3'b110, 6'b010100}; // Col [110]</t>
  </si>
  <si>
    <t>{3'sd-1,  3'sd1,  3'sd-1,  3'sd1} : sdn_recovered = {3'b000, 6'b010101}; // Col [000]</t>
  </si>
  <si>
    <t>{3'sd-1,  3'sd1,  3'sd-2,  3'sd0} : sdn_recovered = {3'b010, 6'b010101}; // Col [010]</t>
  </si>
  <si>
    <t>{3'sd-1,  3'sd0,  3'sd-2,  3'sd1} : sdn_recovered = {3'b100, 6'b010101}; // Col [100]</t>
  </si>
  <si>
    <t>{3'sd1,  3'sd-1,  3'sd-1,  3'sd1} : sdn_recovered = {3'b000, 6'b010110}; // Col [000]</t>
  </si>
  <si>
    <t>{3'sd1,  3'sd-1,  3'sd-2,  3'sd0} : sdn_recovered = {3'b010, 6'b010110}; // Col [010]</t>
  </si>
  <si>
    <t>{3'sd1,  3'sd-2,  3'sd-2,  3'sd1} : sdn_recovered = {3'b100, 6'b010110}; // Col [100]</t>
  </si>
  <si>
    <t>{3'sd1,  3'sd-2,  3'sd-1,  3'sd0} : sdn_recovered = {3'b110, 6'b010110}; // Col [110]</t>
  </si>
  <si>
    <t>{3'sd-1,  3'sd-1,  3'sd-1,  3'sd1} : sdn_recovered = {3'b000, 6'b010111}; // Col [000]</t>
  </si>
  <si>
    <t>{3'sd-1,  3'sd-2,  3'sd-2,  3'sd1} : sdn_recovered = {3'b100, 6'b010111}; // Col [100]</t>
  </si>
  <si>
    <t>{3'sd1,  3'sd1,  3'sd1,  3'sd-1} : sdn_recovered = {3'b000, 6'b011000}; // Col [000]</t>
  </si>
  <si>
    <t>{3'sd1,  3'sd1,  3'sd0,  3'sd-2} : sdn_recovered = {3'b010, 6'b011000}; // Col [010]</t>
  </si>
  <si>
    <t>{3'sd1,  3'sd0,  3'sd0,  3'sd-1} : sdn_recovered = {3'b100, 6'b011000}; // Col [100]</t>
  </si>
  <si>
    <t>{3'sd1,  3'sd0,  3'sd1,  3'sd-2} : sdn_recovered = {3'b110, 6'b011000}; // Col [110]</t>
  </si>
  <si>
    <t>{3'sd-1,  3'sd1,  3'sd1,  3'sd-1} : sdn_recovered = {3'b000, 6'b011001}; // Col [000]</t>
  </si>
  <si>
    <t>{3'sd-1,  3'sd1,  3'sd0,  3'sd-2} : sdn_recovered = {3'b010, 6'b011001}; // Col [010]</t>
  </si>
  <si>
    <t>{3'sd-1,  3'sd0,  3'sd1,  3'sd-2} : sdn_recovered = {3'b110, 6'b011001}; // Col [110]</t>
  </si>
  <si>
    <t>{3'sd1,  3'sd-1,  3'sd1,  3'sd-1} : sdn_recovered = {3'b000, 6'b011010}; // Col [000]</t>
  </si>
  <si>
    <t>{3'sd1,  3'sd-1,  3'sd0,  3'sd-2} : sdn_recovered = {3'b010, 6'b011010}; // Col [010]</t>
  </si>
  <si>
    <t>{3'sd1,  3'sd-2,  3'sd0,  3'sd-1} : sdn_recovered = {3'b100, 6'b011010}; // Col [100]</t>
  </si>
  <si>
    <t>{3'sd1,  3'sd-2,  3'sd1,  3'sd-2} : sdn_recovered = {3'b110, 6'b011010}; // Col [110]</t>
  </si>
  <si>
    <t>{3'sd-1,  3'sd-1,  3'sd1,  3'sd-1} : sdn_recovered = {3'b000, 6'b011011}; // Col [000]</t>
  </si>
  <si>
    <t>{3'sd-1,  3'sd-2,  3'sd1,  3'sd-2} : sdn_recovered = {3'b110, 6'b011011}; // Col [110]</t>
  </si>
  <si>
    <t>{3'sd1,  3'sd1,  3'sd-1,  3'sd-1} : sdn_recovered = {3'b000, 6'b011100}; // Col [000]</t>
  </si>
  <si>
    <t>{3'sd1,  3'sd1,  3'sd-2,  3'sd-2} : sdn_recovered = {3'b010, 6'b011100}; // Col [010]</t>
  </si>
  <si>
    <t>{3'sd1,  3'sd0,  3'sd-2,  3'sd-1} : sdn_recovered = {3'b100, 6'b011100}; // Col [100]</t>
  </si>
  <si>
    <t>{3'sd1,  3'sd0,  3'sd-1,  3'sd-2} : sdn_recovered = {3'b110, 6'b011100}; // Col [110]</t>
  </si>
  <si>
    <t>{3'sd-1,  3'sd1,  3'sd-1,  3'sd-1} : sdn_recovered = {3'b000, 6'b011101}; // Col [000]</t>
  </si>
  <si>
    <t>{3'sd-1,  3'sd1,  3'sd-2,  3'sd-2} : sdn_recovered = {3'b010, 6'b011101}; // Col [010]</t>
  </si>
  <si>
    <t>{3'sd1,  3'sd-1,  3'sd-1,  3'sd-1} : sdn_recovered = {3'b000, 6'b011110}; // Col [000]</t>
  </si>
  <si>
    <t>{3'sd1,  3'sd-1,  3'sd-2,  3'sd-2} : sdn_recovered = {3'b010, 6'b011110}; // Col [010]</t>
  </si>
  <si>
    <t>{3'sd1,  3'sd-2,  3'sd-2,  3'sd-1} : sdn_recovered = {3'b100, 6'b011110}; // Col [100]</t>
  </si>
  <si>
    <t>{3'sd1,  3'sd-2,  3'sd-1,  3'sd-2} : sdn_recovered = {3'b110, 6'b011110}; // Col [110]</t>
  </si>
  <si>
    <t>{3'sd2,  3'sd0,  3'sd0,  3'sd0} : sdn_recovered = {3'b000, 6'b100000}; // Col [000]</t>
  </si>
  <si>
    <t>{3'sd2,  3'sd0,  3'sd1,  3'sd1} : sdn_recovered = {3'b010, 6'b100000}; // Col [010]</t>
  </si>
  <si>
    <t>{3'sd2,  3'sd1,  3'sd1,  3'sd0} : sdn_recovered = {3'b100, 6'b100000}; // Col [100]</t>
  </si>
  <si>
    <t>{3'sd2,  3'sd1,  3'sd0,  3'sd1} : sdn_recovered = {3'b110, 6'b100000}; // Col [110]</t>
  </si>
  <si>
    <t>{3'sd2,  3'sd-2,  3'sd0,  3'sd0} : sdn_recovered = {3'b000, 6'b100001}; // Col [000]</t>
  </si>
  <si>
    <t>{3'sd2,  3'sd-2,  3'sd1,  3'sd1} : sdn_recovered = {3'b010, 6'b100001}; // Col [010]</t>
  </si>
  <si>
    <t>{3'sd2,  3'sd-1,  3'sd1,  3'sd0} : sdn_recovered = {3'b100, 6'b100001}; // Col [100]</t>
  </si>
  <si>
    <t>{3'sd2,  3'sd-1,  3'sd0,  3'sd1} : sdn_recovered = {3'b110, 6'b100001}; // Col [110]</t>
  </si>
  <si>
    <t>{3'sd2,  3'sd0,  3'sd-2,  3'sd0} : sdn_recovered = {3'b000, 6'b100010}; // Col [000]</t>
  </si>
  <si>
    <t>{3'sd2,  3'sd0,  3'sd-1,  3'sd1} : sdn_recovered = {3'b010, 6'b100010}; // Col [010]</t>
  </si>
  <si>
    <t>{3'sd2,  3'sd1,  3'sd-1,  3'sd0} : sdn_recovered = {3'b100, 6'b100010}; // Col [100]</t>
  </si>
  <si>
    <t>{3'sd2,  3'sd1,  3'sd-2,  3'sd1} : sdn_recovered = {3'b110, 6'b100010}; // Col [110]</t>
  </si>
  <si>
    <t>{3'sd2,  3'sd-2,  3'sd-2,  3'sd0} : sdn_recovered = {3'b000, 6'b100011}; // Col [000]</t>
  </si>
  <si>
    <t>{3'sd2,  3'sd-2,  3'sd-1,  3'sd1} : sdn_recovered = {3'b010, 6'b100011}; // Col [010]</t>
  </si>
  <si>
    <t>{3'sd2,  3'sd-1,  3'sd-1,  3'sd0} : sdn_recovered = {3'b100, 6'b100011}; // Col [100]</t>
  </si>
  <si>
    <t>{3'sd2,  3'sd-1,  3'sd-2,  3'sd1} : sdn_recovered = {3'b110, 6'b100011}; // Col [110]</t>
  </si>
  <si>
    <t>{3'sd2,  3'sd0,  3'sd0,  3'sd-2} : sdn_recovered = {3'b000, 6'b100100}; // Col [000]</t>
  </si>
  <si>
    <t>{3'sd2,  3'sd0,  3'sd1,  3'sd-1} : sdn_recovered = {3'b010, 6'b100100}; // Col [010]</t>
  </si>
  <si>
    <t>{3'sd2,  3'sd1,  3'sd1,  3'sd-2} : sdn_recovered = {3'b100, 6'b100100}; // Col [100]</t>
  </si>
  <si>
    <t>{3'sd2,  3'sd1,  3'sd0,  3'sd-1} : sdn_recovered = {3'b110, 6'b100100}; // Col [110]</t>
  </si>
  <si>
    <t>{3'sd2,  3'sd-2,  3'sd0,  3'sd-2} : sdn_recovered = {3'b000, 6'b100101}; // Col [000]</t>
  </si>
  <si>
    <t>{3'sd2,  3'sd-2,  3'sd1,  3'sd-1} : sdn_recovered = {3'b010, 6'b100101}; // Col [010]</t>
  </si>
  <si>
    <t>{3'sd2,  3'sd-1,  3'sd1,  3'sd-2} : sdn_recovered = {3'b100, 6'b100101}; // Col [100]</t>
  </si>
  <si>
    <t>{3'sd2,  3'sd-1,  3'sd0,  3'sd-1} : sdn_recovered = {3'b110, 6'b100101}; // Col [110]</t>
  </si>
  <si>
    <t>{3'sd2,  3'sd0,  3'sd-2,  3'sd-2} : sdn_recovered = {3'b000, 6'b100110}; // Col [000]</t>
  </si>
  <si>
    <t>{3'sd2,  3'sd0,  3'sd-1,  3'sd-1} : sdn_recovered = {3'b010, 6'b100110}; // Col [010]</t>
  </si>
  <si>
    <t>{3'sd2,  3'sd1,  3'sd-1,  3'sd-2} : sdn_recovered = {3'b100, 6'b100110}; // Col [100]</t>
  </si>
  <si>
    <t>{3'sd2,  3'sd1,  3'sd-2,  3'sd-1} : sdn_recovered = {3'b110, 6'b100110}; // Col [110]</t>
  </si>
  <si>
    <t>{3'sd2,  3'sd-2,  3'sd-2,  3'sd-2} : sdn_recovered = {3'b000, 6'b100111}; // Col [000]</t>
  </si>
  <si>
    <t>{3'sd2,  3'sd-2,  3'sd-1,  3'sd-1} : sdn_recovered = {3'b010, 6'b100111}; // Col [010]</t>
  </si>
  <si>
    <t>{3'sd2,  3'sd-1,  3'sd-1,  3'sd-2} : sdn_recovered = {3'b100, 6'b100111}; // Col [100]</t>
  </si>
  <si>
    <t>{3'sd2,  3'sd-1,  3'sd-2,  3'sd-1} : sdn_recovered = {3'b110, 6'b100111}; // Col [110]</t>
  </si>
  <si>
    <t>{3'sd0,  3'sd0,  3'sd2,  3'sd0} : sdn_recovered = {3'b000, 6'b101000}; // Col [000]</t>
  </si>
  <si>
    <t>{3'sd1,  3'sd1,  3'sd2,  3'sd0} : sdn_recovered = {3'b010, 6'b101000}; // Col [010]</t>
  </si>
  <si>
    <t>{3'sd1,  3'sd0,  3'sd2,  3'sd1} : sdn_recovered = {3'b100, 6'b101000}; // Col [100]</t>
  </si>
  <si>
    <t>{3'sd0,  3'sd1,  3'sd2,  3'sd1} : sdn_recovered = {3'b110, 6'b101000}; // Col [110]</t>
  </si>
  <si>
    <t>{3'sd-2,  3'sd0,  3'sd2,  3'sd0} : sdn_recovered = {3'b000, 6'b101001}; // Col [000]</t>
  </si>
  <si>
    <t>{3'sd-1,  3'sd1,  3'sd2,  3'sd0} : sdn_recovered = {3'b010, 6'b101001}; // Col [010]</t>
  </si>
  <si>
    <t>{3'sd-1,  3'sd0,  3'sd2,  3'sd1} : sdn_recovered = {3'b100, 6'b101001}; // Col [100]</t>
  </si>
  <si>
    <t>{3'sd-2,  3'sd1,  3'sd2,  3'sd1} : sdn_recovered = {3'b110, 6'b101001}; // Col [110]</t>
  </si>
  <si>
    <t>{3'sd0,  3'sd-2,  3'sd2,  3'sd0} : sdn_recovered = {3'b000, 6'b101010}; // Col [000]</t>
  </si>
  <si>
    <t>{3'sd1,  3'sd-1,  3'sd2,  3'sd0} : sdn_recovered = {3'b010, 6'b101010}; // Col [010]</t>
  </si>
  <si>
    <t>{3'sd1,  3'sd-2,  3'sd2,  3'sd1} : sdn_recovered = {3'b100, 6'b101010}; // Col [100]</t>
  </si>
  <si>
    <t>{3'sd0,  3'sd-1,  3'sd2,  3'sd1} : sdn_recovered = {3'b110, 6'b101010}; // Col [110]</t>
  </si>
  <si>
    <t>{3'sd-2,  3'sd-2,  3'sd2,  3'sd0} : sdn_recovered = {3'b000, 6'b101011}; // Col [000]</t>
  </si>
  <si>
    <t>{3'sd-1,  3'sd-1,  3'sd2,  3'sd0} : sdn_recovered = {3'b010, 6'b101011}; // Col [010]</t>
  </si>
  <si>
    <t>{3'sd-1,  3'sd-2,  3'sd2,  3'sd1} : sdn_recovered = {3'b100, 6'b101011}; // Col [100]</t>
  </si>
  <si>
    <t>{3'sd-2,  3'sd-1,  3'sd2,  3'sd1} : sdn_recovered = {3'b110, 6'b101011}; // Col [110]</t>
  </si>
  <si>
    <t>{3'sd0,  3'sd0,  3'sd2,  3'sd-2} : sdn_recovered = {3'b000, 6'b101100}; // Col [000]</t>
  </si>
  <si>
    <t>{3'sd1,  3'sd1,  3'sd2,  3'sd-2} : sdn_recovered = {3'b010, 6'b101100}; // Col [010]</t>
  </si>
  <si>
    <t>{3'sd1,  3'sd0,  3'sd2,  3'sd-1} : sdn_recovered = {3'b100, 6'b101100}; // Col [100]</t>
  </si>
  <si>
    <t>{3'sd0,  3'sd1,  3'sd2,  3'sd-1} : sdn_recovered = {3'b110, 6'b101100}; // Col [110]</t>
  </si>
  <si>
    <t>{3'sd-2,  3'sd0,  3'sd2,  3'sd-2} : sdn_recovered = {3'b000, 6'b101101}; // Col [000]</t>
  </si>
  <si>
    <t>{3'sd-1,  3'sd1,  3'sd2,  3'sd-2} : sdn_recovered = {3'b010, 6'b101101}; // Col [010]</t>
  </si>
  <si>
    <t>{3'sd-1,  3'sd0,  3'sd2,  3'sd-1} : sdn_recovered = {3'b100, 6'b101101}; // Col [100]</t>
  </si>
  <si>
    <t>{3'sd-2,  3'sd1,  3'sd2,  3'sd-1} : sdn_recovered = {3'b110, 6'b101101}; // Col [110]</t>
  </si>
  <si>
    <t>{3'sd0,  3'sd-2,  3'sd2,  3'sd-2} : sdn_recovered = {3'b000, 6'b101110}; // Col [000]</t>
  </si>
  <si>
    <t>{3'sd1,  3'sd-1,  3'sd2,  3'sd-2} : sdn_recovered = {3'b010, 6'b101110}; // Col [010]</t>
  </si>
  <si>
    <t>{3'sd1,  3'sd-2,  3'sd2,  3'sd-1} : sdn_recovered = {3'b100, 6'b101110}; // Col [100]</t>
  </si>
  <si>
    <t>{3'sd0,  3'sd-1,  3'sd2,  3'sd-1} : sdn_recovered = {3'b110, 6'b101110}; // Col [110]</t>
  </si>
  <si>
    <t>{3'sd-2,  3'sd-2,  3'sd2,  3'sd-2} : sdn_recovered = {3'b000, 6'b101111}; // Col [000]</t>
  </si>
  <si>
    <t>{3'sd-1,  3'sd-1,  3'sd2,  3'sd-2} : sdn_recovered = {3'b010, 6'b101111}; // Col [010]</t>
  </si>
  <si>
    <t>{3'sd-1,  3'sd-2,  3'sd2,  3'sd-1} : sdn_recovered = {3'b100, 6'b101111}; // Col [100]</t>
  </si>
  <si>
    <t>{3'sd-2,  3'sd-1,  3'sd2,  3'sd-1} : sdn_recovered = {3'b110, 6'b101111}; // Col [110]</t>
  </si>
  <si>
    <t>{3'sd0,  3'sd2,  3'sd0,  3'sd0} : sdn_recovered = {3'b000, 6'b110000}; // Col [000]</t>
  </si>
  <si>
    <t>{3'sd0,  3'sd2,  3'sd1,  3'sd1} : sdn_recovered = {3'b010, 6'b110000}; // Col [010]</t>
  </si>
  <si>
    <t>{3'sd1,  3'sd2,  3'sd0,  3'sd1} : sdn_recovered = {3'b100, 6'b110000}; // Col [100]</t>
  </si>
  <si>
    <t>{3'sd1,  3'sd2,  3'sd1,  3'sd0} : sdn_recovered = {3'b110, 6'b110000}; // Col [110]</t>
  </si>
  <si>
    <t>{3'sd-2,  3'sd2,  3'sd0,  3'sd0} : sdn_recovered = {3'b000, 6'b110001}; // Col [000]</t>
  </si>
  <si>
    <t>{3'sd-2,  3'sd2,  3'sd1,  3'sd1} : sdn_recovered = {3'b010, 6'b110001}; // Col [010]</t>
  </si>
  <si>
    <t>{3'sd-1,  3'sd2,  3'sd0,  3'sd1} : sdn_recovered = {3'b100, 6'b110001}; // Col [100]</t>
  </si>
  <si>
    <t>{3'sd-1,  3'sd2,  3'sd1,  3'sd0} : sdn_recovered = {3'b110, 6'b110001}; // Col [110]</t>
  </si>
  <si>
    <t>{3'sd0,  3'sd2,  3'sd-2,  3'sd0} : sdn_recovered = {3'b000, 6'b110010}; // Col [000]</t>
  </si>
  <si>
    <t>{3'sd0,  3'sd2,  3'sd-1,  3'sd1} : sdn_recovered = {3'b010, 6'b110010}; // Col [010]</t>
  </si>
  <si>
    <t>{3'sd1,  3'sd2,  3'sd-2,  3'sd1} : sdn_recovered = {3'b100, 6'b110010}; // Col [100]</t>
  </si>
  <si>
    <t>{3'sd1,  3'sd2,  3'sd-1,  3'sd0} : sdn_recovered = {3'b110, 6'b110010}; // Col [110]</t>
  </si>
  <si>
    <t>{3'sd-2,  3'sd2,  3'sd-2,  3'sd0} : sdn_recovered = {3'b000, 6'b110011}; // Col [000]</t>
  </si>
  <si>
    <t>{3'sd-2,  3'sd2,  3'sd-1,  3'sd1} : sdn_recovered = {3'b010, 6'b110011}; // Col [010]</t>
  </si>
  <si>
    <t>{3'sd-1,  3'sd2,  3'sd-2,  3'sd1} : sdn_recovered = {3'b100, 6'b110011}; // Col [100]</t>
  </si>
  <si>
    <t>{3'sd-1,  3'sd2,  3'sd-1,  3'sd0} : sdn_recovered = {3'b110, 6'b110011}; // Col [110]</t>
  </si>
  <si>
    <t>{3'sd0,  3'sd2,  3'sd0,  3'sd-2} : sdn_recovered = {3'b000, 6'b110100}; // Col [000]</t>
  </si>
  <si>
    <t>{3'sd0,  3'sd2,  3'sd1,  3'sd-1} : sdn_recovered = {3'b010, 6'b110100}; // Col [010]</t>
  </si>
  <si>
    <t>{3'sd1,  3'sd2,  3'sd0,  3'sd-1} : sdn_recovered = {3'b100, 6'b110100}; // Col [100]</t>
  </si>
  <si>
    <t>{3'sd1,  3'sd2,  3'sd1,  3'sd-2} : sdn_recovered = {3'b110, 6'b110100}; // Col [110]</t>
  </si>
  <si>
    <t>{3'sd-2,  3'sd2,  3'sd0,  3'sd-2} : sdn_recovered = {3'b000, 6'b110101}; // Col [000]</t>
  </si>
  <si>
    <t>{3'sd-2,  3'sd2,  3'sd1,  3'sd-1} : sdn_recovered = {3'b010, 6'b110101}; // Col [010]</t>
  </si>
  <si>
    <t>{3'sd-1,  3'sd2,  3'sd0,  3'sd-1} : sdn_recovered = {3'b100, 6'b110101}; // Col [100]</t>
  </si>
  <si>
    <t>{3'sd-1,  3'sd2,  3'sd1,  3'sd-2} : sdn_recovered = {3'b110, 6'b110101}; // Col [110]</t>
  </si>
  <si>
    <t>{3'sd0,  3'sd2,  3'sd-2,  3'sd-2} : sdn_recovered = {3'b000, 6'b110110}; // Col [000]</t>
  </si>
  <si>
    <t>{3'sd0,  3'sd2,  3'sd-1,  3'sd-1} : sdn_recovered = {3'b010, 6'b110110}; // Col [010]</t>
  </si>
  <si>
    <t>{3'sd1,  3'sd2,  3'sd-2,  3'sd-1} : sdn_recovered = {3'b100, 6'b110110}; // Col [100]</t>
  </si>
  <si>
    <t>{3'sd1,  3'sd2,  3'sd-1,  3'sd-2} : sdn_recovered = {3'b110, 6'b110110}; // Col [110]</t>
  </si>
  <si>
    <t>{3'sd-2,  3'sd2,  3'sd-2,  3'sd-2} : sdn_recovered = {3'b000, 6'b110111}; // Col [000]</t>
  </si>
  <si>
    <t>{3'sd-2,  3'sd2,  3'sd-1,  3'sd-1} : sdn_recovered = {3'b010, 6'b110111}; // Col [010]</t>
  </si>
  <si>
    <t>{3'sd-1,  3'sd2,  3'sd-2,  3'sd-1} : sdn_recovered = {3'b100, 6'b110111}; // Col [100]</t>
  </si>
  <si>
    <t>{3'sd-1,  3'sd2,  3'sd-1,  3'sd-2} : sdn_recovered = {3'b110, 6'b110111}; // Col [110]</t>
  </si>
  <si>
    <t>{3'sd0,  3'sd0,  3'sd0,  3'sd2} : sdn_recovered = {3'b000, 6'b111000}; // Col [000]</t>
  </si>
  <si>
    <t>{3'sd1,  3'sd1,  3'sd0,  3'sd2} : sdn_recovered = {3'b010, 6'b111000}; // Col [010]</t>
  </si>
  <si>
    <t>{3'sd0,  3'sd1,  3'sd1,  3'sd2} : sdn_recovered = {3'b100, 6'b111000}; // Col [100]</t>
  </si>
  <si>
    <t>{3'sd1,  3'sd0,  3'sd1,  3'sd2} : sdn_recovered = {3'b110, 6'b111000}; // Col [110]</t>
  </si>
  <si>
    <t>{3'sd-2,  3'sd0,  3'sd0,  3'sd2} : sdn_recovered = {3'b000, 6'b111001}; // Col [000]</t>
  </si>
  <si>
    <t>{3'sd-1,  3'sd1,  3'sd0,  3'sd2} : sdn_recovered = {3'b010, 6'b111001}; // Col [010]</t>
  </si>
  <si>
    <t>{3'sd-2,  3'sd1,  3'sd1,  3'sd2} : sdn_recovered = {3'b100, 6'b111001}; // Col [100]</t>
  </si>
  <si>
    <t>{3'sd-1,  3'sd0,  3'sd1,  3'sd2} : sdn_recovered = {3'b110, 6'b111001}; // Col [110]</t>
  </si>
  <si>
    <t>{3'sd0,  3'sd-2,  3'sd0,  3'sd2} : sdn_recovered = {3'b000, 6'b111010}; // Col [000]</t>
  </si>
  <si>
    <t>{3'sd1,  3'sd-1,  3'sd0,  3'sd2} : sdn_recovered = {3'b010, 6'b111010}; // Col [010]</t>
  </si>
  <si>
    <t>{3'sd0,  3'sd-1,  3'sd1,  3'sd2} : sdn_recovered = {3'b100, 6'b111010}; // Col [100]</t>
  </si>
  <si>
    <t>{3'sd1,  3'sd-2,  3'sd1,  3'sd2} : sdn_recovered = {3'b110, 6'b111010}; // Col [110]</t>
  </si>
  <si>
    <t>{3'sd-2,  3'sd-2,  3'sd0,  3'sd2} : sdn_recovered = {3'b000, 6'b111011}; // Col [000]</t>
  </si>
  <si>
    <t>{3'sd-1,  3'sd-1,  3'sd0,  3'sd2} : sdn_recovered = {3'b010, 6'b111011}; // Col [010]</t>
  </si>
  <si>
    <t>{3'sd-2,  3'sd-1,  3'sd1,  3'sd2} : sdn_recovered = {3'b100, 6'b111011}; // Col [100]</t>
  </si>
  <si>
    <t>{3'sd-1,  3'sd-2,  3'sd1,  3'sd2} : sdn_recovered = {3'b110, 6'b111011}; // Col [110]</t>
  </si>
  <si>
    <t>{3'sd0,  3'sd0,  3'sd-2,  3'sd2} : sdn_recovered = {3'b000, 6'b111100}; // Col [000]</t>
  </si>
  <si>
    <t>{3'sd1,  3'sd1,  3'sd-2,  3'sd2} : sdn_recovered = {3'b010, 6'b111100}; // Col [010]</t>
  </si>
  <si>
    <t>{3'sd0,  3'sd1,  3'sd-1,  3'sd2} : sdn_recovered = {3'b100, 6'b111100}; // Col [100]</t>
  </si>
  <si>
    <t>{3'sd1,  3'sd0,  3'sd-1,  3'sd2} : sdn_recovered = {3'b110, 6'b111100}; // Col [110]</t>
  </si>
  <si>
    <t>{3'sd-2,  3'sd0,  3'sd-2,  3'sd2} : sdn_recovered = {3'b000, 6'b111101}; // Col [000]</t>
  </si>
  <si>
    <t>{3'sd-1,  3'sd1,  3'sd-2,  3'sd2} : sdn_recovered = {3'b010, 6'b111101}; // Col [010]</t>
  </si>
  <si>
    <t>{3'sd-2,  3'sd1,  3'sd-1,  3'sd2} : sdn_recovered = {3'b100, 6'b111101}; // Col [100]</t>
  </si>
  <si>
    <t>{3'sd-1,  3'sd0,  3'sd-1,  3'sd2} : sdn_recovered = {3'b110, 6'b111101}; // Col [110]</t>
  </si>
  <si>
    <t>{3'sd0,  3'sd-2,  3'sd-2,  3'sd2} : sdn_recovered = {3'b000, 6'b111110}; // Col [000]</t>
  </si>
  <si>
    <t>{3'sd1,  3'sd-1,  3'sd-2,  3'sd2} : sdn_recovered = {3'b010, 6'b111110}; // Col [010]</t>
  </si>
  <si>
    <t>{3'sd0,  3'sd-1,  3'sd-1,  3'sd2} : sdn_recovered = {3'b100, 6'b111110}; // Col [100]</t>
  </si>
  <si>
    <t>{3'sd1,  3'sd-2,  3'sd-1,  3'sd2} : sdn_recovered = {3'b110, 6'b111110}; // Col [110]</t>
  </si>
  <si>
    <t>{3'sd-2,  3'sd-2,  3'sd-2,  3'sd2} : sdn_recovered = {3'b000, 6'b111111}; // Col [000]</t>
  </si>
  <si>
    <t>{3'sd-1,  3'sd-1,  3'sd-2,  3'sd2} : sdn_recovered = {3'b010, 6'b111111}; // Col [010]</t>
  </si>
  <si>
    <t>{3'sd-2,  3'sd-1,  3'sd-1,  3'sd2} : sdn_recovered = {3'b100, 6'b111111}; // Col [100]</t>
  </si>
  <si>
    <t>{3'sd-1,  3'sd-2,  3'sd-1,  3'sd2} : sdn_recovered = {3'b110, 6'b111111}; // Col [110]</t>
  </si>
  <si>
    <t>{3'sd0,  3'sd0,  3'sd0,  3'sd+1} : sdn_recovered = {3'b001, 6'b000000}; // Col [001]</t>
  </si>
  <si>
    <t>{3'sd0,  3'sd0,  3'sd+1,  3'sd0} : sdn_recovered = {3'b011, 6'b000000}; // Col [011]</t>
  </si>
  <si>
    <t>{3'sd0,  3'sd+1,  3'sd+1,  3'sd+1} : sdn_recovered = {3'b101, 6'b000000}; // Col [101]</t>
  </si>
  <si>
    <t>{3'sd0,  3'sd+1,  3'sd0,  3'sd0} : sdn_recovered = {3'b111, 6'b000000}; // Col [111]</t>
  </si>
  <si>
    <t>{3'sd-2,  3'sd0,  3'sd0,  3'sd+1} : sdn_recovered = {3'b001, 6'b000001}; // Col [001]</t>
  </si>
  <si>
    <t>{3'sd-2,  3'sd0,  3'sd+1,  3'sd0} : sdn_recovered = {3'b011, 6'b000001}; // Col [011]</t>
  </si>
  <si>
    <t>{3'sd-2,  3'sd+1,  3'sd+1,  3'sd+1} : sdn_recovered = {3'b101, 6'b000001}; // Col [101]</t>
  </si>
  <si>
    <t>{3'sd-2,  3'sd+1,  3'sd0,  3'sd0} : sdn_recovered = {3'b111, 6'b000001}; // Col [111]</t>
  </si>
  <si>
    <t>{3'sd0,  3'sd-2,  3'sd0,  3'sd+1} : sdn_recovered = {3'b001, 6'b000010}; // Col [001]</t>
  </si>
  <si>
    <t>{3'sd0,  3'sd-2,  3'sd+1,  3'sd0} : sdn_recovered = {3'b011, 6'b000010}; // Col [011]</t>
  </si>
  <si>
    <t>{3'sd0,  3'sd-1,  3'sd+1,  3'sd+1} : sdn_recovered = {3'b101, 6'b000010}; // Col [101]</t>
  </si>
  <si>
    <t>{3'sd0,  3'sd-1,  3'sd0,  3'sd0} : sdn_recovered = {3'b111, 6'b000010}; // Col [111]</t>
  </si>
  <si>
    <t>{3'sd-2,  3'sd-2,  3'sd0,  3'sd+1} : sdn_recovered = {3'b001, 6'b000011}; // Col [001]</t>
  </si>
  <si>
    <t>{3'sd-2,  3'sd-2,  3'sd+1,  3'sd0} : sdn_recovered = {3'b011, 6'b000011}; // Col [011]</t>
  </si>
  <si>
    <t>{3'sd-2,  3'sd-1,  3'sd+1,  3'sd+1} : sdn_recovered = {3'b101, 6'b000011}; // Col [101]</t>
  </si>
  <si>
    <t>{3'sd-2,  3'sd-1,  3'sd0,  3'sd0} : sdn_recovered = {3'b111, 6'b000011}; // Col [111]</t>
  </si>
  <si>
    <t>{3'sd0,  3'sd0,  3'sd-2,  3'sd+1} : sdn_recovered = {3'b001, 6'b000100}; // Col [001]</t>
  </si>
  <si>
    <t>{3'sd0,  3'sd0,  3'sd-1,  3'sd0} : sdn_recovered = {3'b011, 6'b000100}; // Col [011]</t>
  </si>
  <si>
    <t>{3'sd0,  3'sd+1,  3'sd-1,  3'sd+1} : sdn_recovered = {3'b101, 6'b000100}; // Col [101]</t>
  </si>
  <si>
    <t>{3'sd0,  3'sd+1,  3'sd-2,  3'sd0} : sdn_recovered = {3'b111, 6'b000100}; // Col [111]</t>
  </si>
  <si>
    <t>{3'sd-2,  3'sd0,  3'sd-2,  3'sd+1} : sdn_recovered = {3'b001, 6'b000101}; // Col [001]</t>
  </si>
  <si>
    <t>{3'sd-2,  3'sd0,  3'sd-1,  3'sd0} : sdn_recovered = {3'b011, 6'b000101}; // Col [011]</t>
  </si>
  <si>
    <t>{3'sd-2,  3'sd+1,  3'sd-1,  3'sd+1} : sdn_recovered = {3'b101, 6'b000101}; // Col [101]</t>
  </si>
  <si>
    <t>{3'sd-2,  3'sd+1,  3'sd-2,  3'sd0} : sdn_recovered = {3'b111, 6'b000101}; // Col [111]</t>
  </si>
  <si>
    <t>{3'sd0,  3'sd-2,  3'sd-2,  3'sd+1} : sdn_recovered = {3'b001, 6'b000110}; // Col [001]</t>
  </si>
  <si>
    <t>{3'sd0,  3'sd-2,  3'sd-1,  3'sd0} : sdn_recovered = {3'b011, 6'b000110}; // Col [011]</t>
  </si>
  <si>
    <t>{3'sd0,  3'sd-1,  3'sd-1,  3'sd+1} : sdn_recovered = {3'b101, 6'b000110}; // Col [101]</t>
  </si>
  <si>
    <t>{3'sd0,  3'sd-1,  3'sd-2,  3'sd0} : sdn_recovered = {3'b111, 6'b000110}; // Col [111]</t>
  </si>
  <si>
    <t>{3'sd-2,  3'sd-2,  3'sd-2,  3'sd+1} : sdn_recovered = {3'b001, 6'b000111}; // Col [001]</t>
  </si>
  <si>
    <t>{3'sd-2,  3'sd-2,  3'sd-1,  3'sd0} : sdn_recovered = {3'b011, 6'b000111}; // Col [011]</t>
  </si>
  <si>
    <t>{3'sd-2,  3'sd-1,  3'sd-1,  3'sd+1} : sdn_recovered = {3'b101, 6'b000111}; // Col [101]</t>
  </si>
  <si>
    <t>{3'sd-2,  3'sd-1,  3'sd-2,  3'sd0} : sdn_recovered = {3'b111, 6'b000111}; // Col [111]</t>
  </si>
  <si>
    <t>{3'sd0,  3'sd0,  3'sd0,  3'sd-1} : sdn_recovered = {3'b001, 6'b001000}; // Col [001]</t>
  </si>
  <si>
    <t>{3'sd0,  3'sd0,  3'sd+1,  3'sd-2} : sdn_recovered = {3'b011, 6'b001000}; // Col [011]</t>
  </si>
  <si>
    <t>{3'sd0,  3'sd+1,  3'sd+1,  3'sd-1} : sdn_recovered = {3'b101, 6'b001000}; // Col [101]</t>
  </si>
  <si>
    <t>{3'sd0,  3'sd+1,  3'sd0,  3'sd-2} : sdn_recovered = {3'b111, 6'b001000}; // Col [111]</t>
  </si>
  <si>
    <t>{3'sd-2,  3'sd0,  3'sd0,  3'sd-1} : sdn_recovered = {3'b001, 6'b001001}; // Col [001]</t>
  </si>
  <si>
    <t>{3'sd-2,  3'sd0,  3'sd+1,  3'sd-2} : sdn_recovered = {3'b011, 6'b001001}; // Col [011]</t>
  </si>
  <si>
    <t>{3'sd-2,  3'sd+1,  3'sd+1,  3'sd-1} : sdn_recovered = {3'b101, 6'b001001}; // Col [101]</t>
  </si>
  <si>
    <t>{3'sd-2,  3'sd+1,  3'sd0,  3'sd-2} : sdn_recovered = {3'b111, 6'b001001}; // Col [111]</t>
  </si>
  <si>
    <t>{3'sd0,  3'sd-2,  3'sd0,  3'sd-1} : sdn_recovered = {3'b001, 6'b001010}; // Col [001]</t>
  </si>
  <si>
    <t>{3'sd0,  3'sd-2,  3'sd+1,  3'sd-2} : sdn_recovered = {3'b011, 6'b001010}; // Col [011]</t>
  </si>
  <si>
    <t>{3'sd0,  3'sd-1,  3'sd+1,  3'sd-1} : sdn_recovered = {3'b101, 6'b001010}; // Col [101]</t>
  </si>
  <si>
    <t>{3'sd0,  3'sd-1,  3'sd0,  3'sd-2} : sdn_recovered = {3'b111, 6'b001010}; // Col [111]</t>
  </si>
  <si>
    <t>{3'sd-2,  3'sd-2,  3'sd0,  3'sd-1} : sdn_recovered = {3'b001, 6'b001011}; // Col [001]</t>
  </si>
  <si>
    <t>{3'sd-2,  3'sd-2,  3'sd+1,  3'sd-2} : sdn_recovered = {3'b011, 6'b001011}; // Col [011]</t>
  </si>
  <si>
    <t>{3'sd-2,  3'sd-1,  3'sd+1,  3'sd-1} : sdn_recovered = {3'b101, 6'b001011}; // Col [101]</t>
  </si>
  <si>
    <t>{3'sd-2,  3'sd-1,  3'sd0,  3'sd-2} : sdn_recovered = {3'b111, 6'b001011}; // Col [111]</t>
  </si>
  <si>
    <t>{3'sd0,  3'sd0,  3'sd-2,  3'sd-1} : sdn_recovered = {3'b001, 6'b001100}; // Col [001]</t>
  </si>
  <si>
    <t>{3'sd0,  3'sd0,  3'sd-1,  3'sd-2} : sdn_recovered = {3'b011, 6'b001100}; // Col [011]</t>
  </si>
  <si>
    <t>{3'sd0,  3'sd+1,  3'sd-1,  3'sd-1} : sdn_recovered = {3'b101, 6'b001100}; // Col [101]</t>
  </si>
  <si>
    <t>{3'sd0,  3'sd+1,  3'sd-2,  3'sd-2} : sdn_recovered = {3'b111, 6'b001100}; // Col [111]</t>
  </si>
  <si>
    <t>{3'sd-2,  3'sd0,  3'sd-2,  3'sd-1} : sdn_recovered = {3'b001, 6'b001101}; // Col [001]</t>
  </si>
  <si>
    <t>{3'sd-2,  3'sd0,  3'sd-1,  3'sd-2} : sdn_recovered = {3'b011, 6'b001101}; // Col [011]</t>
  </si>
  <si>
    <t>{3'sd-2,  3'sd+1,  3'sd-1,  3'sd-1} : sdn_recovered = {3'b101, 6'b001101}; // Col [101]</t>
  </si>
  <si>
    <t>{3'sd-2,  3'sd+1,  3'sd-2,  3'sd-2} : sdn_recovered = {3'b111, 6'b001101}; // Col [111]</t>
  </si>
  <si>
    <t>{3'sd0,  3'sd-2,  3'sd-2,  3'sd-1} : sdn_recovered = {3'b001, 6'b001110}; // Col [001]</t>
  </si>
  <si>
    <t>{3'sd0,  3'sd-2,  3'sd-1,  3'sd-2} : sdn_recovered = {3'b011, 6'b001110}; // Col [011]</t>
  </si>
  <si>
    <t>{3'sd0,  3'sd-1,  3'sd-1,  3'sd-1} : sdn_recovered = {3'b101, 6'b001110}; // Col [101]</t>
  </si>
  <si>
    <t>{3'sd0,  3'sd-1,  3'sd-2,  3'sd-2} : sdn_recovered = {3'b111, 6'b001110}; // Col [111]</t>
  </si>
  <si>
    <t>{3'sd-2,  3'sd-2,  3'sd-2,  3'sd-1} : sdn_recovered = {3'b001, 6'b001111}; // Col [001]</t>
  </si>
  <si>
    <t>{3'sd-2,  3'sd-2,  3'sd-1,  3'sd-2} : sdn_recovered = {3'b011, 6'b001111}; // Col [011]</t>
  </si>
  <si>
    <t>{3'sd-2,  3'sd-1,  3'sd-1,  3'sd-1} : sdn_recovered = {3'b101, 6'b001111}; // Col [101]</t>
  </si>
  <si>
    <t>{3'sd-2,  3'sd-1,  3'sd-2,  3'sd-2} : sdn_recovered = {3'b111, 6'b001111}; // Col [111]</t>
  </si>
  <si>
    <t>{3'sd+1,  3'sd+1,  3'sd+1,  3'sd0} : sdn_recovered = {3'b001, 6'b010000}; // Col [001]</t>
  </si>
  <si>
    <t>{3'sd+1,  3'sd+1,  3'sd0,  3'sd+1} : sdn_recovered = {3'b011, 6'b010000}; // Col [011]</t>
  </si>
  <si>
    <t>{3'sd+1,  3'sd0,  3'sd0,  3'sd0} : sdn_recovered = {3'b101, 6'b010000}; // Col [101]</t>
  </si>
  <si>
    <t>{3'sd+1,  3'sd0,  3'sd+1,  3'sd+1} : sdn_recovered = {3'b111, 6'b010000}; // Col [111]</t>
  </si>
  <si>
    <t>{3'sd-1,  3'sd+1,  3'sd+1,  3'sd0} : sdn_recovered = {3'b001, 6'b010001}; // Col [001]</t>
  </si>
  <si>
    <t>{3'sd-1,  3'sd+1,  3'sd0,  3'sd+1} : sdn_recovered = {3'b011, 6'b010001}; // Col [011]</t>
  </si>
  <si>
    <t>{3'sd-1,  3'sd0,  3'sd0,  3'sd0} : sdn_recovered = {3'b101, 6'b010001}; // Col [101]</t>
  </si>
  <si>
    <t>{3'sd-1,  3'sd0,  3'sd+1,  3'sd+1} : sdn_recovered = {3'b111, 6'b010001}; // Col [111]</t>
  </si>
  <si>
    <t>{3'sd+1,  3'sd-1,  3'sd+1,  3'sd0} : sdn_recovered = {3'b001, 6'b010010}; // Col [001]</t>
  </si>
  <si>
    <t>{3'sd+1,  3'sd-1,  3'sd0,  3'sd+1} : sdn_recovered = {3'b011, 6'b010010}; // Col [011]</t>
  </si>
  <si>
    <t>{3'sd+1,  3'sd-2,  3'sd0,  3'sd0} : sdn_recovered = {3'b101, 6'b010010}; // Col [101]</t>
  </si>
  <si>
    <t>{3'sd+1,  3'sd-2,  3'sd+1,  3'sd+1} : sdn_recovered = {3'b111, 6'b010010}; // Col [111]</t>
  </si>
  <si>
    <t>{3'sd-1,  3'sd-1,  3'sd+1,  3'sd0} : sdn_recovered = {3'b001, 6'b010011}; // Col [001]</t>
  </si>
  <si>
    <t>{3'sd-1,  3'sd-1,  3'sd0,  3'sd+1} : sdn_recovered = {3'b011, 6'b010011}; // Col [011]</t>
  </si>
  <si>
    <t>{3'sd-1,  3'sd-2,  3'sd0,  3'sd0} : sdn_recovered = {3'b101, 6'b010011}; // Col [101]</t>
  </si>
  <si>
    <t>{3'sd-1,  3'sd-2,  3'sd+1,  3'sd+1} : sdn_recovered = {3'b111, 6'b010011}; // Col [111]</t>
  </si>
  <si>
    <t>{3'sd+1,  3'sd+1,  3'sd-1,  3'sd0} : sdn_recovered = {3'b001, 6'b010100}; // Col [001]</t>
  </si>
  <si>
    <t>{3'sd+1,  3'sd+1,  3'sd-2,  3'sd+1} : sdn_recovered = {3'b011, 6'b010100}; // Col [011]</t>
  </si>
  <si>
    <t>{3'sd+1,  3'sd0,  3'sd-2,  3'sd0} : sdn_recovered = {3'b101, 6'b010100}; // Col [101]</t>
  </si>
  <si>
    <t>{3'sd+1,  3'sd0,  3'sd-1,  3'sd+1} : sdn_recovered = {3'b111, 6'b010100}; // Col [111]</t>
  </si>
  <si>
    <t>{3'sd-1,  3'sd+1,  3'sd-1,  3'sd0} : sdn_recovered = {3'b001, 6'b010101}; // Col [001]</t>
  </si>
  <si>
    <t>{3'sd-1,  3'sd+1,  3'sd-2,  3'sd+1} : sdn_recovered = {3'b011, 6'b010101}; // Col [011]</t>
  </si>
  <si>
    <t>{3'sd-1,  3'sd0,  3'sd-2,  3'sd0} : sdn_recovered = {3'b101, 6'b010101}; // Col [101]</t>
  </si>
  <si>
    <t>{3'sd-1,  3'sd0,  3'sd-1,  3'sd+1} : sdn_recovered = {3'b111, 6'b010101}; // Col [111]</t>
  </si>
  <si>
    <t>{3'sd+1,  3'sd-1,  3'sd-1,  3'sd0} : sdn_recovered = {3'b001, 6'b010110}; // Col [001]</t>
  </si>
  <si>
    <t>{3'sd+1,  3'sd-1,  3'sd-2,  3'sd+1} : sdn_recovered = {3'b011, 6'b010110}; // Col [011]</t>
  </si>
  <si>
    <t>{3'sd+1,  3'sd-2,  3'sd-2,  3'sd0} : sdn_recovered = {3'b101, 6'b010110}; // Col [101]</t>
  </si>
  <si>
    <t>{3'sd+1,  3'sd-2,  3'sd-1,  3'sd+1} : sdn_recovered = {3'b111, 6'b010110}; // Col [111]</t>
  </si>
  <si>
    <t>{3'sd-1,  3'sd-1,  3'sd-1,  3'sd0} : sdn_recovered = {3'b001, 6'b010111}; // Col [001]</t>
  </si>
  <si>
    <t>{3'sd-1,  3'sd-1,  3'sd-2,  3'sd+1} : sdn_recovered = {3'b011, 6'b010111}; // Col [011]</t>
  </si>
  <si>
    <t>{3'sd-1,  3'sd-2,  3'sd-2,  3'sd0} : sdn_recovered = {3'b101, 6'b010111}; // Col [101]</t>
  </si>
  <si>
    <t>{3'sd-1,  3'sd-2,  3'sd-1,  3'sd+1} : sdn_recovered = {3'b111, 6'b010111}; // Col [111]</t>
  </si>
  <si>
    <t>{3'sd+1,  3'sd+1,  3'sd+1,  3'sd-2} : sdn_recovered = {3'b001, 6'b011000}; // Col [001]</t>
  </si>
  <si>
    <t>{3'sd+1,  3'sd+1,  3'sd0,  3'sd-1} : sdn_recovered = {3'b011, 6'b011000}; // Col [011]</t>
  </si>
  <si>
    <t>{3'sd+1,  3'sd0,  3'sd0,  3'sd-2} : sdn_recovered = {3'b101, 6'b011000}; // Col [101]</t>
  </si>
  <si>
    <t>{3'sd+1,  3'sd0,  3'sd+1,  3'sd-1} : sdn_recovered = {3'b111, 6'b011000}; // Col [111]</t>
  </si>
  <si>
    <t>{3'sd-1,  3'sd+1,  3'sd+1,  3'sd-2} : sdn_recovered = {3'b001, 6'b011001}; // Col [001]</t>
  </si>
  <si>
    <t>{3'sd-1,  3'sd+1,  3'sd0,  3'sd-1} : sdn_recovered = {3'b011, 6'b011001}; // Col [011]</t>
  </si>
  <si>
    <t>{3'sd-1,  3'sd0,  3'sd0,  3'sd-2} : sdn_recovered = {3'b101, 6'b011001}; // Col [101]</t>
  </si>
  <si>
    <t>{3'sd-1,  3'sd0,  3'sd+1,  3'sd-1} : sdn_recovered = {3'b111, 6'b011001}; // Col [111]</t>
  </si>
  <si>
    <t>{3'sd+1,  3'sd-1,  3'sd+1,  3'sd-2} : sdn_recovered = {3'b001, 6'b011010}; // Col [001]</t>
  </si>
  <si>
    <t>{3'sd+1,  3'sd-1,  3'sd0,  3'sd-1} : sdn_recovered = {3'b011, 6'b011010}; // Col [011]</t>
  </si>
  <si>
    <t>{3'sd+1,  3'sd-2,  3'sd0,  3'sd-2} : sdn_recovered = {3'b101, 6'b011010}; // Col [101]</t>
  </si>
  <si>
    <t>{3'sd+1,  3'sd-2,  3'sd+1,  3'sd-1} : sdn_recovered = {3'b111, 6'b011010}; // Col [111]</t>
  </si>
  <si>
    <t>{3'sd-1,  3'sd-1,  3'sd+1,  3'sd-2} : sdn_recovered = {3'b001, 6'b011011}; // Col [001]</t>
  </si>
  <si>
    <t>{3'sd-1,  3'sd-1,  3'sd0,  3'sd-1} : sdn_recovered = {3'b011, 6'b011011}; // Col [011]</t>
  </si>
  <si>
    <t>{3'sd-1,  3'sd-2,  3'sd0,  3'sd-2} : sdn_recovered = {3'b101, 6'b011011}; // Col [101]</t>
  </si>
  <si>
    <t>{3'sd-1,  3'sd-2,  3'sd+1,  3'sd-1} : sdn_recovered = {3'b111, 6'b011011}; // Col [111]</t>
  </si>
  <si>
    <t>{3'sd+1,  3'sd+1,  3'sd-1,  3'sd-2} : sdn_recovered = {3'b001, 6'b011100}; // Col [001]</t>
  </si>
  <si>
    <t>{3'sd+1,  3'sd+1,  3'sd-2,  3'sd-1} : sdn_recovered = {3'b011, 6'b011100}; // Col [011]</t>
  </si>
  <si>
    <t>{3'sd+1,  3'sd0,  3'sd-2,  3'sd-2} : sdn_recovered = {3'b101, 6'b011100}; // Col [101]</t>
  </si>
  <si>
    <t>{3'sd+1,  3'sd0,  3'sd-1,  3'sd-1} : sdn_recovered = {3'b111, 6'b011100}; // Col [111]</t>
  </si>
  <si>
    <t>{3'sd-1,  3'sd+1,  3'sd-1,  3'sd-2} : sdn_recovered = {3'b001, 6'b011101}; // Col [001]</t>
  </si>
  <si>
    <t>{3'sd-1,  3'sd+1,  3'sd-2,  3'sd-1} : sdn_recovered = {3'b011, 6'b011101}; // Col [011]</t>
  </si>
  <si>
    <t>{3'sd-1,  3'sd0,  3'sd-2,  3'sd-2} : sdn_recovered = {3'b101, 6'b011101}; // Col [101]</t>
  </si>
  <si>
    <t>{3'sd-1,  3'sd0,  3'sd-1,  3'sd-1} : sdn_recovered = {3'b111, 6'b011101}; // Col [111]</t>
  </si>
  <si>
    <t>{3'sd+1,  3'sd-1,  3'sd-1,  3'sd-2} : sdn_recovered = {3'b001, 6'b011110}; // Col [001]</t>
  </si>
  <si>
    <t>{3'sd+1,  3'sd-1,  3'sd-2,  3'sd-1} : sdn_recovered = {3'b011, 6'b011110}; // Col [011]</t>
  </si>
  <si>
    <t>{3'sd+1,  3'sd-2,  3'sd-2,  3'sd-2} : sdn_recovered = {3'b101, 6'b011110}; // Col [101]</t>
  </si>
  <si>
    <t>{3'sd+1,  3'sd-2,  3'sd-1,  3'sd-1} : sdn_recovered = {3'b111, 6'b011110}; // Col [111]</t>
  </si>
  <si>
    <t>{3'sd-1,  3'sd-1,  3'sd-1,  3'sd-2} : sdn_recovered = {3'b001, 6'b011111}; // Col [001]</t>
  </si>
  <si>
    <t>{3'sd-1,  3'sd-1,  3'sd-2,  3'sd-1} : sdn_recovered = {3'b011, 6'b011111}; // Col [011]</t>
  </si>
  <si>
    <t>{3'sd-1,  3'sd-2,  3'sd-2,  3'sd-2} : sdn_recovered = {3'b101, 6'b011111}; // Col [101]</t>
  </si>
  <si>
    <t>{3'sd-1,  3'sd-2,  3'sd-1,  3'sd-1} : sdn_recovered = {3'b111, 6'b011111}; // Col [111]</t>
  </si>
  <si>
    <t>{3'sd+2,  3'sd0,  3'sd0,  3'sd+1} : sdn_recovered = {3'b001, 6'b100000}; // Col [001]</t>
  </si>
  <si>
    <t>{3'sd+2,  3'sd0,  3'sd+1,  3'sd0} : sdn_recovered = {3'b011, 6'b100000}; // Col [011]</t>
  </si>
  <si>
    <t>{3'sd+2,  3'sd+1,  3'sd+1,  3'sd+1} : sdn_recovered = {3'b101, 6'b100000}; // Col [101]</t>
  </si>
  <si>
    <t>{3'sd+2,  3'sd+1,  3'sd0,  3'sd0} : sdn_recovered = {3'b111, 6'b100000}; // Col [111]</t>
  </si>
  <si>
    <t>{3'sd+2,  3'sd-2,  3'sd0,  3'sd+1} : sdn_recovered = {3'b001, 6'b100001}; // Col [001]</t>
  </si>
  <si>
    <t>{3'sd+2,  3'sd-2,  3'sd+1,  3'sd0} : sdn_recovered = {3'b011, 6'b100001}; // Col [011]</t>
  </si>
  <si>
    <t>{3'sd+2,  3'sd-1,  3'sd+1,  3'sd+1} : sdn_recovered = {3'b101, 6'b100001}; // Col [101]</t>
  </si>
  <si>
    <t>{3'sd+2,  3'sd-1,  3'sd0,  3'sd0} : sdn_recovered = {3'b111, 6'b100001}; // Col [111]</t>
  </si>
  <si>
    <t>{3'sd+2,  3'sd0,  3'sd-2,  3'sd+1} : sdn_recovered = {3'b001, 6'b100010}; // Col [001]</t>
  </si>
  <si>
    <t>{3'sd+2,  3'sd0,  3'sd-1,  3'sd0} : sdn_recovered = {3'b011, 6'b100010}; // Col [011]</t>
  </si>
  <si>
    <t>{3'sd+2,  3'sd+1,  3'sd-1,  3'sd+1} : sdn_recovered = {3'b101, 6'b100010}; // Col [101]</t>
  </si>
  <si>
    <t>{3'sd+2,  3'sd+1,  3'sd-2,  3'sd0} : sdn_recovered = {3'b111, 6'b100010}; // Col [111]</t>
  </si>
  <si>
    <t>{3'sd+2,  3'sd-2,  3'sd-2,  3'sd+1} : sdn_recovered = {3'b001, 6'b100011}; // Col [001]</t>
  </si>
  <si>
    <t>{3'sd+2,  3'sd-2,  3'sd-1,  3'sd0} : sdn_recovered = {3'b011, 6'b100011}; // Col [011]</t>
  </si>
  <si>
    <t>{3'sd+2,  3'sd-1,  3'sd-1,  3'sd+1} : sdn_recovered = {3'b101, 6'b100011}; // Col [101]</t>
  </si>
  <si>
    <t>{3'sd+2,  3'sd-1,  3'sd-2,  3'sd0} : sdn_recovered = {3'b111, 6'b100011}; // Col [111]</t>
  </si>
  <si>
    <t>{3'sd+2,  3'sd0,  3'sd0,  3'sd-1} : sdn_recovered = {3'b001, 6'b100100}; // Col [001]</t>
  </si>
  <si>
    <t>{3'sd+2,  3'sd0,  3'sd+1,  3'sd-2} : sdn_recovered = {3'b011, 6'b100100}; // Col [011]</t>
  </si>
  <si>
    <t>{3'sd+2,  3'sd+1,  3'sd+1,  3'sd-1} : sdn_recovered = {3'b101, 6'b100100}; // Col [101]</t>
  </si>
  <si>
    <t>{3'sd+2,  3'sd+1,  3'sd0,  3'sd-2} : sdn_recovered = {3'b111, 6'b100100}; // Col [111]</t>
  </si>
  <si>
    <t>{3'sd+2,  3'sd-2,  3'sd0,  3'sd-1} : sdn_recovered = {3'b001, 6'b100101}; // Col [001]</t>
  </si>
  <si>
    <t>{3'sd+2,  3'sd-2,  3'sd+1,  3'sd-2} : sdn_recovered = {3'b011, 6'b100101}; // Col [011]</t>
  </si>
  <si>
    <t>{3'sd+2,  3'sd-1,  3'sd+1,  3'sd-1} : sdn_recovered = {3'b101, 6'b100101}; // Col [101]</t>
  </si>
  <si>
    <t>{3'sd+2,  3'sd-1,  3'sd0,  3'sd-2} : sdn_recovered = {3'b111, 6'b100101}; // Col [111]</t>
  </si>
  <si>
    <t>{3'sd+2,  3'sd0,  3'sd-2,  3'sd-1} : sdn_recovered = {3'b001, 6'b100110}; // Col [001]</t>
  </si>
  <si>
    <t>{3'sd+2,  3'sd0,  3'sd-1,  3'sd-2} : sdn_recovered = {3'b011, 6'b100110}; // Col [011]</t>
  </si>
  <si>
    <t>{3'sd+2,  3'sd+1,  3'sd-1,  3'sd-1} : sdn_recovered = {3'b101, 6'b100110}; // Col [101]</t>
  </si>
  <si>
    <t>{3'sd+2,  3'sd+1,  3'sd-2,  3'sd-2} : sdn_recovered = {3'b111, 6'b100110}; // Col [111]</t>
  </si>
  <si>
    <t>{3'sd+2,  3'sd-2,  3'sd-2,  3'sd-1} : sdn_recovered = {3'b001, 6'b100111}; // Col [001]</t>
  </si>
  <si>
    <t>{3'sd+2,  3'sd-2,  3'sd-1,  3'sd-2} : sdn_recovered = {3'b011, 6'b100111}; // Col [011]</t>
  </si>
  <si>
    <t>{3'sd+2,  3'sd-1,  3'sd-1,  3'sd-1} : sdn_recovered = {3'b101, 6'b100111}; // Col [101]</t>
  </si>
  <si>
    <t>{3'sd+2,  3'sd-1,  3'sd-2,  3'sd-2} : sdn_recovered = {3'b111, 6'b100111}; // Col [111]</t>
  </si>
  <si>
    <t>{3'sd0,  3'sd0,  3'sd+2,  3'sd+1} : sdn_recovered = {3'b001, 6'b101000}; // Col [001]</t>
  </si>
  <si>
    <t>{3'sd+1,  3'sd+1,  3'sd+2,  3'sd+1} : sdn_recovered = {3'b011, 6'b101000}; // Col [011]</t>
  </si>
  <si>
    <t>{3'sd+1,  3'sd0,  3'sd+2,  3'sd0} : sdn_recovered = {3'b101, 6'b101000}; // Col [101]</t>
  </si>
  <si>
    <t>{3'sd0,  3'sd+1,  3'sd+2,  3'sd0} : sdn_recovered = {3'b111, 6'b101000}; // Col [111]</t>
  </si>
  <si>
    <t>{3'sd-2,  3'sd0,  3'sd+2,  3'sd+1} : sdn_recovered = {3'b001, 6'b101001}; // Col [001]</t>
  </si>
  <si>
    <t>{3'sd-1,  3'sd+1,  3'sd+2,  3'sd+1} : sdn_recovered = {3'b011, 6'b101001}; // Col [011]</t>
  </si>
  <si>
    <t>{3'sd-1,  3'sd0,  3'sd+2,  3'sd0} : sdn_recovered = {3'b101, 6'b101001}; // Col [101]</t>
  </si>
  <si>
    <t>{3'sd-2,  3'sd+1,  3'sd+2,  3'sd0} : sdn_recovered = {3'b111, 6'b101001}; // Col [111]</t>
  </si>
  <si>
    <t>{3'sd0,  3'sd-2,  3'sd+2,  3'sd+1} : sdn_recovered = {3'b001, 6'b101010}; // Col [001]</t>
  </si>
  <si>
    <t>{3'sd+1,  3'sd-1,  3'sd+2,  3'sd+1} : sdn_recovered = {3'b011, 6'b101010}; // Col [011]</t>
  </si>
  <si>
    <t>{3'sd+1,  3'sd-2,  3'sd+2,  3'sd0} : sdn_recovered = {3'b101, 6'b101010}; // Col [101]</t>
  </si>
  <si>
    <t>{3'sd0,  3'sd-1,  3'sd+2,  3'sd0} : sdn_recovered = {3'b111, 6'b101010}; // Col [111]</t>
  </si>
  <si>
    <t>{3'sd-2,  3'sd-2,  3'sd+2,  3'sd+1} : sdn_recovered = {3'b001, 6'b101011}; // Col [001]</t>
  </si>
  <si>
    <t>{3'sd-1,  3'sd-1,  3'sd+2,  3'sd+1} : sdn_recovered = {3'b011, 6'b101011}; // Col [011]</t>
  </si>
  <si>
    <t>{3'sd-1,  3'sd-2,  3'sd+2,  3'sd0} : sdn_recovered = {3'b101, 6'b101011}; // Col [101]</t>
  </si>
  <si>
    <t>{3'sd-2,  3'sd-1,  3'sd+2,  3'sd0} : sdn_recovered = {3'b111, 6'b101011}; // Col [111]</t>
  </si>
  <si>
    <t>{3'sd0,  3'sd0,  3'sd+2,  3'sd-1} : sdn_recovered = {3'b001, 6'b101100}; // Col [001]</t>
  </si>
  <si>
    <t>{3'sd+1,  3'sd+1,  3'sd+2,  3'sd-1} : sdn_recovered = {3'b011, 6'b101100}; // Col [011]</t>
  </si>
  <si>
    <t>{3'sd+1,  3'sd0,  3'sd+2,  3'sd-2} : sdn_recovered = {3'b101, 6'b101100}; // Col [101]</t>
  </si>
  <si>
    <t>{3'sd0,  3'sd+1,  3'sd+2,  3'sd-2} : sdn_recovered = {3'b111, 6'b101100}; // Col [111]</t>
  </si>
  <si>
    <t>{3'sd-2,  3'sd0,  3'sd+2,  3'sd-1} : sdn_recovered = {3'b001, 6'b101101}; // Col [001]</t>
  </si>
  <si>
    <t>{3'sd-1,  3'sd+1,  3'sd+2,  3'sd-1} : sdn_recovered = {3'b011, 6'b101101}; // Col [011]</t>
  </si>
  <si>
    <t>{3'sd-1,  3'sd0,  3'sd+2,  3'sd-2} : sdn_recovered = {3'b101, 6'b101101}; // Col [101]</t>
  </si>
  <si>
    <t>{3'sd-2,  3'sd+1,  3'sd+2,  3'sd-2} : sdn_recovered = {3'b111, 6'b101101}; // Col [111]</t>
  </si>
  <si>
    <t>{3'sd0,  3'sd-2,  3'sd+2,  3'sd-1} : sdn_recovered = {3'b001, 6'b101110}; // Col [001]</t>
  </si>
  <si>
    <t>{3'sd+1,  3'sd-1,  3'sd+2,  3'sd-1} : sdn_recovered = {3'b011, 6'b101110}; // Col [011]</t>
  </si>
  <si>
    <t>{3'sd+1,  3'sd-2,  3'sd+2,  3'sd-2} : sdn_recovered = {3'b101, 6'b101110}; // Col [101]</t>
  </si>
  <si>
    <t>{3'sd0,  3'sd-1,  3'sd+2,  3'sd-2} : sdn_recovered = {3'b111, 6'b101110}; // Col [111]</t>
  </si>
  <si>
    <t>{3'sd-2,  3'sd-2,  3'sd+2,  3'sd-1} : sdn_recovered = {3'b001, 6'b101111}; // Col [001]</t>
  </si>
  <si>
    <t>{3'sd-1,  3'sd-1,  3'sd+2,  3'sd-1} : sdn_recovered = {3'b011, 6'b101111}; // Col [011]</t>
  </si>
  <si>
    <t>{3'sd-1,  3'sd-2,  3'sd+2,  3'sd-2} : sdn_recovered = {3'b101, 6'b101111}; // Col [101]</t>
  </si>
  <si>
    <t>{3'sd-2,  3'sd-1,  3'sd+2,  3'sd-2} : sdn_recovered = {3'b111, 6'b101111}; // Col [111]</t>
  </si>
  <si>
    <t>{3'sd0,  3'sd+2,  3'sd0,  3'sd+1} : sdn_recovered = {3'b001, 6'b110000}; // Col [001]</t>
  </si>
  <si>
    <t>{3'sd0,  3'sd+2,  3'sd+1,  3'sd0} : sdn_recovered = {3'b011, 6'b110000}; // Col [011]</t>
  </si>
  <si>
    <t>{3'sd+1,  3'sd+2,  3'sd0,  3'sd0} : sdn_recovered = {3'b101, 6'b110000}; // Col [101]</t>
  </si>
  <si>
    <t>{3'sd+1,  3'sd+2,  3'sd+1,  3'sd+1} : sdn_recovered = {3'b111, 6'b110000}; // Col [111]</t>
  </si>
  <si>
    <t>{3'sd-2,  3'sd+2,  3'sd0,  3'sd+1} : sdn_recovered = {3'b001, 6'b110001}; // Col [001]</t>
  </si>
  <si>
    <t>{3'sd-2,  3'sd+2,  3'sd+1,  3'sd0} : sdn_recovered = {3'b011, 6'b110001}; // Col [011]</t>
  </si>
  <si>
    <t>{3'sd-1,  3'sd+2,  3'sd0,  3'sd0} : sdn_recovered = {3'b101, 6'b110001}; // Col [101]</t>
  </si>
  <si>
    <t>{3'sd-1,  3'sd+2,  3'sd+1,  3'sd+1} : sdn_recovered = {3'b111, 6'b110001}; // Col [111]</t>
  </si>
  <si>
    <t>{3'sd0,  3'sd+2,  3'sd-2,  3'sd+1} : sdn_recovered = {3'b001, 6'b110010}; // Col [001]</t>
  </si>
  <si>
    <t>{3'sd0,  3'sd+2,  3'sd-1,  3'sd0} : sdn_recovered = {3'b011, 6'b110010}; // Col [011]</t>
  </si>
  <si>
    <t>{3'sd+1,  3'sd+2,  3'sd-2,  3'sd0} : sdn_recovered = {3'b101, 6'b110010}; // Col [101]</t>
  </si>
  <si>
    <t>{3'sd+1,  3'sd+2,  3'sd-1,  3'sd+1} : sdn_recovered = {3'b111, 6'b110010}; // Col [111]</t>
  </si>
  <si>
    <t>{3'sd-2,  3'sd+2,  3'sd-2,  3'sd+1} : sdn_recovered = {3'b001, 6'b110011}; // Col [001]</t>
  </si>
  <si>
    <t>{3'sd-2,  3'sd+2,  3'sd-1,  3'sd0} : sdn_recovered = {3'b011, 6'b110011}; // Col [011]</t>
  </si>
  <si>
    <t>{3'sd-1,  3'sd+2,  3'sd-2,  3'sd0} : sdn_recovered = {3'b101, 6'b110011}; // Col [101]</t>
  </si>
  <si>
    <t>{3'sd-1,  3'sd+2,  3'sd-1,  3'sd+1} : sdn_recovered = {3'b111, 6'b110011}; // Col [111]</t>
  </si>
  <si>
    <t>{3'sd0,  3'sd+2,  3'sd0,  3'sd-1} : sdn_recovered = {3'b001, 6'b110100}; // Col [001]</t>
  </si>
  <si>
    <t>{3'sd0,  3'sd+2,  3'sd+1,  3'sd-2} : sdn_recovered = {3'b011, 6'b110100}; // Col [011]</t>
  </si>
  <si>
    <t>{3'sd+1,  3'sd+2,  3'sd0,  3'sd-2} : sdn_recovered = {3'b101, 6'b110100}; // Col [101]</t>
  </si>
  <si>
    <t>{3'sd+1,  3'sd+2,  3'sd+1,  3'sd-1} : sdn_recovered = {3'b111, 6'b110100}; // Col [111]</t>
  </si>
  <si>
    <t>{3'sd-2,  3'sd+2,  3'sd0,  3'sd-1} : sdn_recovered = {3'b001, 6'b110101}; // Col [001]</t>
  </si>
  <si>
    <t>{3'sd-2,  3'sd+2,  3'sd+1,  3'sd-2} : sdn_recovered = {3'b011, 6'b110101}; // Col [011]</t>
  </si>
  <si>
    <t>{3'sd-1,  3'sd+2,  3'sd0,  3'sd-2} : sdn_recovered = {3'b101, 6'b110101}; // Col [101]</t>
  </si>
  <si>
    <t>{3'sd-1,  3'sd+2,  3'sd+1,  3'sd-1} : sdn_recovered = {3'b111, 6'b110101}; // Col [111]</t>
  </si>
  <si>
    <t>{3'sd0,  3'sd+2,  3'sd-2,  3'sd-1} : sdn_recovered = {3'b001, 6'b110110}; // Col [001]</t>
  </si>
  <si>
    <t>{3'sd0,  3'sd+2,  3'sd-1,  3'sd-2} : sdn_recovered = {3'b011, 6'b110110}; // Col [011]</t>
  </si>
  <si>
    <t>{3'sd+1,  3'sd+2,  3'sd-2,  3'sd-2} : sdn_recovered = {3'b101, 6'b110110}; // Col [101]</t>
  </si>
  <si>
    <t>{3'sd+1,  3'sd+2,  3'sd-1,  3'sd-1} : sdn_recovered = {3'b111, 6'b110110}; // Col [111]</t>
  </si>
  <si>
    <t>{3'sd-2,  3'sd+2,  3'sd-2,  3'sd-1} : sdn_recovered = {3'b001, 6'b110111}; // Col [001]</t>
  </si>
  <si>
    <t>{3'sd-2,  3'sd+2,  3'sd-1,  3'sd-2} : sdn_recovered = {3'b011, 6'b110111}; // Col [011]</t>
  </si>
  <si>
    <t>{3'sd-1,  3'sd+2,  3'sd-2,  3'sd-2} : sdn_recovered = {3'b101, 6'b110111}; // Col [101]</t>
  </si>
  <si>
    <t>{3'sd-1,  3'sd+2,  3'sd-1,  3'sd-1} : sdn_recovered = {3'b111, 6'b110111}; // Col [111]</t>
  </si>
  <si>
    <t>{3'sd+1,  3'sd+1,  3'sd+1,  3'sd+2} : sdn_recovered = {3'b001, 6'b111000}; // Col [001]</t>
  </si>
  <si>
    <t>{3'sd0,  3'sd0,  3'sd+1,  3'sd+2} : sdn_recovered = {3'b011, 6'b111000}; // Col [011]</t>
  </si>
  <si>
    <t>{3'sd+1,  3'sd0,  3'sd0,  3'sd+2} : sdn_recovered = {3'b101, 6'b111000}; // Col [101]</t>
  </si>
  <si>
    <t>{3'sd0,  3'sd+1,  3'sd0,  3'sd+2} : sdn_recovered = {3'b111, 6'b111000}; // Col [111]</t>
  </si>
  <si>
    <t>{3'sd-1,  3'sd+1,  3'sd+1,  3'sd+2} : sdn_recovered = {3'b001, 6'b111001}; // Col [001]</t>
  </si>
  <si>
    <t>{3'sd-2,  3'sd0,  3'sd+1,  3'sd+2} : sdn_recovered = {3'b011, 6'b111001}; // Col [011]</t>
  </si>
  <si>
    <t>{3'sd-1,  3'sd0,  3'sd0,  3'sd+2} : sdn_recovered = {3'b101, 6'b111001}; // Col [101]</t>
  </si>
  <si>
    <t>{3'sd-2,  3'sd+1,  3'sd0,  3'sd+2} : sdn_recovered = {3'b111, 6'b111001}; // Col [111]</t>
  </si>
  <si>
    <t>{3'sd+1,  3'sd-1,  3'sd+1,  3'sd+2} : sdn_recovered = {3'b001, 6'b111010}; // Col [001]</t>
  </si>
  <si>
    <t>{3'sd0,  3'sd-2,  3'sd+1,  3'sd+2} : sdn_recovered = {3'b011, 6'b111010}; // Col [011]</t>
  </si>
  <si>
    <t>{3'sd+1,  3'sd-2,  3'sd0,  3'sd+2} : sdn_recovered = {3'b101, 6'b111010}; // Col [101]</t>
  </si>
  <si>
    <t>{3'sd0,  3'sd-1,  3'sd0,  3'sd+2} : sdn_recovered = {3'b111, 6'b111010}; // Col [111]</t>
  </si>
  <si>
    <t>{3'sd-1,  3'sd-1,  3'sd+1,  3'sd+2} : sdn_recovered = {3'b001, 6'b111011}; // Col [001]</t>
  </si>
  <si>
    <t>{3'sd-2,  3'sd-2,  3'sd+1,  3'sd+2} : sdn_recovered = {3'b011, 6'b111011}; // Col [011]</t>
  </si>
  <si>
    <t>{3'sd-1,  3'sd-2,  3'sd0,  3'sd+2} : sdn_recovered = {3'b101, 6'b111011}; // Col [101]</t>
  </si>
  <si>
    <t>{3'sd-2,  3'sd-1,  3'sd0,  3'sd+2} : sdn_recovered = {3'b111, 6'b111011}; // Col [111]</t>
  </si>
  <si>
    <t>{3'sd+1,  3'sd+1,  3'sd-1,  3'sd+2} : sdn_recovered = {3'b001, 6'b111100}; // Col [001]</t>
  </si>
  <si>
    <t>{3'sd0,  3'sd0,  3'sd-1,  3'sd+2} : sdn_recovered = {3'b011, 6'b111100}; // Col [011]</t>
  </si>
  <si>
    <t>{3'sd+1,  3'sd0,  3'sd-2,  3'sd+2} : sdn_recovered = {3'b101, 6'b111100}; // Col [101]</t>
  </si>
  <si>
    <t>{3'sd0,  3'sd+1,  3'sd-2,  3'sd+2} : sdn_recovered = {3'b111, 6'b111100}; // Col [111]</t>
  </si>
  <si>
    <t>{3'sd-1,  3'sd+1,  3'sd-1,  3'sd+2} : sdn_recovered = {3'b001, 6'b111101}; // Col [001]</t>
  </si>
  <si>
    <t>{3'sd-2,  3'sd0,  3'sd-1,  3'sd+2} : sdn_recovered = {3'b011, 6'b111101}; // Col [011]</t>
  </si>
  <si>
    <t>{3'sd-1,  3'sd0,  3'sd-2,  3'sd+2} : sdn_recovered = {3'b101, 6'b111101}; // Col [101]</t>
  </si>
  <si>
    <t>{3'sd-2,  3'sd+1,  3'sd-2,  3'sd+2} : sdn_recovered = {3'b111, 6'b111101}; // Col [111]</t>
  </si>
  <si>
    <t>{3'sd+1,  3'sd-1,  3'sd-1,  3'sd+2} : sdn_recovered = {3'b001, 6'b111110}; // Col [001]</t>
  </si>
  <si>
    <t>{3'sd0,  3'sd-2,  3'sd-1,  3'sd+2} : sdn_recovered = {3'b011, 6'b111110}; // Col [011]</t>
  </si>
  <si>
    <t>{3'sd+1,  3'sd-2,  3'sd-2,  3'sd+2} : sdn_recovered = {3'b101, 6'b111110}; // Col [101]</t>
  </si>
  <si>
    <t>{3'sd0,  3'sd-1,  3'sd-2,  3'sd+2} : sdn_recovered = {3'b111, 6'b111110}; // Col [111]</t>
  </si>
  <si>
    <t>{3'sd-1,  3'sd-1,  3'sd-1,  3'sd+2} : sdn_recovered = {3'b001, 6'b111111}; // Col [001]</t>
  </si>
  <si>
    <t>{3'sd-2,  3'sd-2,  3'sd-1,  3'sd+2} : sdn_recovered = {3'b011, 6'b111111}; // Col [011]</t>
  </si>
  <si>
    <t>{3'sd-1,  3'sd-2,  3'sd-2,  3'sd+2} : sdn_recovered = {3'b101, 6'b111111}; // Col [101]</t>
  </si>
  <si>
    <t>{3'sd-2,  3'sd-1,  3'sd-2,  3'sd+2} : sdn_recovered = {3'b111, 6'b111111}; // Col [111]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</si>
</sst>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49" fontId="1" fillId="2" borderId="8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2" borderId="0" xfId="0" applyFill="1"/>
    <xf numFmtId="0" fontId="0" fillId="0" borderId="0" xfId="0" applyAlignment="1">
      <alignment wrapText="1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DA50-E35D-46B9-9219-972FA62F7C8D}">
  <dimension ref="A1:W94"/>
  <sheetViews>
    <sheetView zoomScale="85" zoomScaleNormal="85" workbookViewId="0">
      <selection activeCell="T5" sqref="T5"/>
    </sheetView>
  </sheetViews>
  <sheetFormatPr defaultRowHeight="15" x14ac:dyDescent="0.25"/>
  <cols>
    <col min="1" max="1" width="63" bestFit="1" customWidth="1"/>
    <col min="2" max="2" width="12.28515625" bestFit="1" customWidth="1"/>
    <col min="3" max="3" width="13.42578125" bestFit="1" customWidth="1"/>
    <col min="4" max="19" width="3.140625" bestFit="1" customWidth="1"/>
    <col min="20" max="23" width="69.5703125" bestFit="1" customWidth="1"/>
  </cols>
  <sheetData>
    <row r="1" spans="1:23" s="4" customFormat="1" x14ac:dyDescent="0.2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4" customFormat="1" x14ac:dyDescent="0.25">
      <c r="D2" s="7" t="s">
        <v>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3" s="5" customFormat="1" x14ac:dyDescent="0.25">
      <c r="A3" s="3" t="s">
        <v>100</v>
      </c>
      <c r="B3" s="3" t="s">
        <v>97</v>
      </c>
      <c r="C3" s="3" t="s">
        <v>98</v>
      </c>
      <c r="D3" s="8" t="s">
        <v>0</v>
      </c>
      <c r="E3" s="8"/>
      <c r="F3" s="8"/>
      <c r="G3" s="8"/>
      <c r="H3" s="8" t="s">
        <v>1</v>
      </c>
      <c r="I3" s="8"/>
      <c r="J3" s="8"/>
      <c r="K3" s="8"/>
      <c r="L3" s="8" t="s">
        <v>3</v>
      </c>
      <c r="M3" s="8"/>
      <c r="N3" s="8"/>
      <c r="O3" s="8"/>
      <c r="P3" s="8" t="s">
        <v>2</v>
      </c>
      <c r="Q3" s="8"/>
      <c r="R3" s="8"/>
      <c r="S3" s="8"/>
      <c r="T3" s="7" t="s">
        <v>99</v>
      </c>
      <c r="U3" s="7"/>
      <c r="V3" s="7"/>
      <c r="W3" s="7"/>
    </row>
    <row r="4" spans="1:23" x14ac:dyDescent="0.25">
      <c r="A4" s="2" t="s">
        <v>7</v>
      </c>
      <c r="B4" s="2" t="str" cm="1">
        <f t="array" ref="B4:S4">_xlfn.TEXTSPLIT(TRIM(A4), {" ",",",", "})</f>
        <v>Normal</v>
      </c>
      <c r="C4" s="2" t="str">
        <v>000000</v>
      </c>
      <c r="D4" s="2" t="str">
        <v>0</v>
      </c>
      <c r="E4" s="2" t="str">
        <v>0</v>
      </c>
      <c r="F4" s="2" t="str">
        <v>0</v>
      </c>
      <c r="G4" s="2" t="str">
        <v>0</v>
      </c>
      <c r="H4" s="2" t="str">
        <v>0</v>
      </c>
      <c r="I4" s="2" t="str">
        <v>0</v>
      </c>
      <c r="J4" s="2" t="str">
        <v>+1</v>
      </c>
      <c r="K4" s="2" t="str">
        <v>+1</v>
      </c>
      <c r="L4" s="2" t="str">
        <v>0</v>
      </c>
      <c r="M4" s="2" t="str">
        <v>+1</v>
      </c>
      <c r="N4" s="2" t="str">
        <v>+1</v>
      </c>
      <c r="O4" s="2" t="str">
        <v>0</v>
      </c>
      <c r="P4" s="2" t="str">
        <v>0</v>
      </c>
      <c r="Q4" s="2" t="str">
        <v>+1</v>
      </c>
      <c r="R4" s="2" t="str">
        <v>0</v>
      </c>
      <c r="S4" s="2" t="str">
        <v>+1</v>
      </c>
      <c r="T4" s="2" t="str">
        <f>"6'b" &amp; $C4 &amp; ": begin t_symb.A = " &amp; D4 &amp;";  t_symb.B = " &amp; E4 &amp; "; t_symb.C = "&amp; F4 &amp; "; t_symb.D = " &amp; G4 &amp;"; end"</f>
        <v>6'b000000: begin t_symb.A = 0;  t_symb.B = 0; t_symb.C = 0; t_symb.D = 0; end</v>
      </c>
      <c r="U4" s="2" t="str">
        <f>"6'b" &amp; $C4 &amp; ": begin t_symb.A = " &amp; H4 &amp;";  t_symb.B = " &amp; I4 &amp; "; t_symb.C = "&amp; J4 &amp; "; t_symb.D = " &amp; K4 &amp;"; end"</f>
        <v>6'b000000: begin t_symb.A = 0;  t_symb.B = 0; t_symb.C = +1; t_symb.D = +1; end</v>
      </c>
      <c r="V4" s="2" t="str">
        <f>"6'b" &amp; $C4 &amp; ": begin t_symb.A = " &amp; L4 &amp;";  t_symb.B = " &amp; M4 &amp; "; t_symb.C = "&amp; N4 &amp; "; t_symb.D = " &amp; O4 &amp;"; end"</f>
        <v>6'b000000: begin t_symb.A = 0;  t_symb.B = +1; t_symb.C = +1; t_symb.D = 0; end</v>
      </c>
      <c r="W4" s="2" t="str">
        <f>"6'b" &amp; $C4 &amp; ": begin t_symb.A = " &amp; P4 &amp;";  t_symb.B = " &amp; Q4 &amp; "; t_symb.C = "&amp; R4 &amp; "; t_symb.D = " &amp; S4 &amp;"; end"</f>
        <v>6'b000000: begin t_symb.A = 0;  t_symb.B = +1; t_symb.C = 0; t_symb.D = +1; end</v>
      </c>
    </row>
    <row r="5" spans="1:23" x14ac:dyDescent="0.25">
      <c r="A5" s="1" t="s">
        <v>8</v>
      </c>
      <c r="B5" s="1" t="str" cm="1">
        <f t="array" ref="B5:S5">_xlfn.TEXTSPLIT(TRIM(A5), {" ",",",", "})</f>
        <v>Normal</v>
      </c>
      <c r="C5" s="1" t="str">
        <v>000001</v>
      </c>
      <c r="D5" s="1" t="str">
        <v>-2</v>
      </c>
      <c r="E5" s="1" t="str">
        <v>0</v>
      </c>
      <c r="F5" s="1" t="str">
        <v>0</v>
      </c>
      <c r="G5" s="1" t="str">
        <v>0</v>
      </c>
      <c r="H5" s="1" t="str">
        <v>-2</v>
      </c>
      <c r="I5" s="1" t="str">
        <v>0</v>
      </c>
      <c r="J5" s="1" t="str">
        <v>+1</v>
      </c>
      <c r="K5" s="1" t="str">
        <v>+1</v>
      </c>
      <c r="L5" s="1" t="str">
        <v>-2</v>
      </c>
      <c r="M5" s="1" t="str">
        <v>+1</v>
      </c>
      <c r="N5" s="1" t="str">
        <v>+1</v>
      </c>
      <c r="O5" s="1" t="str">
        <v>0</v>
      </c>
      <c r="P5" s="1" t="str">
        <v>-2</v>
      </c>
      <c r="Q5" s="1" t="str">
        <v>+1</v>
      </c>
      <c r="R5" s="1" t="str">
        <v>0</v>
      </c>
      <c r="S5" s="1" t="str">
        <v>+1</v>
      </c>
      <c r="T5" s="2" t="str">
        <f t="shared" ref="T5:T67" si="0">"6'b" &amp; $C5 &amp; ": begin t_symb.A = " &amp; D5 &amp;";  t_symb.B = " &amp; E5 &amp; "; t_symb.C = "&amp; F5 &amp; "; t_symb.D = " &amp; G5 &amp;"; end"</f>
        <v>6'b000001: begin t_symb.A = -2;  t_symb.B = 0; t_symb.C = 0; t_symb.D = 0; end</v>
      </c>
      <c r="U5" s="2" t="str">
        <f t="shared" ref="U5:U67" si="1">"6'b" &amp; $C5 &amp; ": begin t_symb.A = " &amp; H5 &amp;";  t_symb.B = " &amp; I5 &amp; "; t_symb.C = "&amp; J5 &amp; "; t_symb.D = " &amp; K5 &amp;"; end"</f>
        <v>6'b000001: begin t_symb.A = -2;  t_symb.B = 0; t_symb.C = +1; t_symb.D = +1; end</v>
      </c>
      <c r="V5" s="2" t="str">
        <f t="shared" ref="V5:V67" si="2">"6'b" &amp; $C5 &amp; ": begin t_symb.A = " &amp; L5 &amp;";  t_symb.B = " &amp; M5 &amp; "; t_symb.C = "&amp; N5 &amp; "; t_symb.D = " &amp; O5 &amp;"; end"</f>
        <v>6'b000001: begin t_symb.A = -2;  t_symb.B = +1; t_symb.C = +1; t_symb.D = 0; end</v>
      </c>
      <c r="W5" s="2" t="str">
        <f t="shared" ref="W5:W67" si="3">"6'b" &amp; $C5 &amp; ": begin t_symb.A = " &amp; P5 &amp;";  t_symb.B = " &amp; Q5 &amp; "; t_symb.C = "&amp; R5 &amp; "; t_symb.D = " &amp; S5 &amp;"; end"</f>
        <v>6'b000001: begin t_symb.A = -2;  t_symb.B = +1; t_symb.C = 0; t_symb.D = +1; end</v>
      </c>
    </row>
    <row r="6" spans="1:23" x14ac:dyDescent="0.25">
      <c r="A6" s="1" t="s">
        <v>9</v>
      </c>
      <c r="B6" s="1" t="str" cm="1">
        <f t="array" ref="B6:S6">_xlfn.TEXTSPLIT(TRIM(A6), {" ",",",", "})</f>
        <v>Normal</v>
      </c>
      <c r="C6" s="1" t="str">
        <v>000010</v>
      </c>
      <c r="D6" s="1" t="str">
        <v>0</v>
      </c>
      <c r="E6" s="1" t="str">
        <v>-2</v>
      </c>
      <c r="F6" s="1" t="str">
        <v>0</v>
      </c>
      <c r="G6" s="1" t="str">
        <v>0</v>
      </c>
      <c r="H6" s="1" t="str">
        <v>0</v>
      </c>
      <c r="I6" s="1" t="str">
        <v>-2</v>
      </c>
      <c r="J6" s="1" t="str">
        <v>+1</v>
      </c>
      <c r="K6" s="1" t="str">
        <v>+1</v>
      </c>
      <c r="L6" s="1" t="str">
        <v>0</v>
      </c>
      <c r="M6" s="1" t="str">
        <v>-1</v>
      </c>
      <c r="N6" s="1" t="str">
        <v>+1</v>
      </c>
      <c r="O6" s="1" t="str">
        <v>0</v>
      </c>
      <c r="P6" s="1" t="str">
        <v>0</v>
      </c>
      <c r="Q6" s="1" t="str">
        <v>-1</v>
      </c>
      <c r="R6" s="1" t="str">
        <v>0</v>
      </c>
      <c r="S6" s="1" t="str">
        <v>+1</v>
      </c>
      <c r="T6" s="2" t="str">
        <f t="shared" si="0"/>
        <v>6'b000010: begin t_symb.A = 0;  t_symb.B = -2; t_symb.C = 0; t_symb.D = 0; end</v>
      </c>
      <c r="U6" s="2" t="str">
        <f t="shared" si="1"/>
        <v>6'b000010: begin t_symb.A = 0;  t_symb.B = -2; t_symb.C = +1; t_symb.D = +1; end</v>
      </c>
      <c r="V6" s="2" t="str">
        <f t="shared" si="2"/>
        <v>6'b000010: begin t_symb.A = 0;  t_symb.B = -1; t_symb.C = +1; t_symb.D = 0; end</v>
      </c>
      <c r="W6" s="2" t="str">
        <f t="shared" si="3"/>
        <v>6'b000010: begin t_symb.A = 0;  t_symb.B = -1; t_symb.C = 0; t_symb.D = +1; end</v>
      </c>
    </row>
    <row r="7" spans="1:23" x14ac:dyDescent="0.25">
      <c r="A7" s="1" t="s">
        <v>10</v>
      </c>
      <c r="B7" s="1" t="str" cm="1">
        <f t="array" ref="B7:S7">_xlfn.TEXTSPLIT(TRIM(A7), {" ",",",", "})</f>
        <v>Normal</v>
      </c>
      <c r="C7" s="1" t="str">
        <v>000011</v>
      </c>
      <c r="D7" s="1" t="str">
        <v>-2</v>
      </c>
      <c r="E7" s="1" t="str">
        <v>-2</v>
      </c>
      <c r="F7" s="1" t="str">
        <v>0</v>
      </c>
      <c r="G7" s="1" t="str">
        <v>0</v>
      </c>
      <c r="H7" s="1" t="str">
        <v>-2</v>
      </c>
      <c r="I7" s="1" t="str">
        <v>-2</v>
      </c>
      <c r="J7" s="1" t="str">
        <v>+1</v>
      </c>
      <c r="K7" s="1" t="str">
        <v>+1</v>
      </c>
      <c r="L7" s="1" t="str">
        <v>-2</v>
      </c>
      <c r="M7" s="1" t="str">
        <v>-1</v>
      </c>
      <c r="N7" s="1" t="str">
        <v>+1</v>
      </c>
      <c r="O7" s="1" t="str">
        <v>0</v>
      </c>
      <c r="P7" s="1" t="str">
        <v>-2</v>
      </c>
      <c r="Q7" s="1" t="str">
        <v>-1</v>
      </c>
      <c r="R7" s="1" t="str">
        <v>0</v>
      </c>
      <c r="S7" s="1" t="str">
        <v>+1</v>
      </c>
      <c r="T7" s="2" t="str">
        <f t="shared" si="0"/>
        <v>6'b000011: begin t_symb.A = -2;  t_symb.B = -2; t_symb.C = 0; t_symb.D = 0; end</v>
      </c>
      <c r="U7" s="2" t="str">
        <f t="shared" si="1"/>
        <v>6'b000011: begin t_symb.A = -2;  t_symb.B = -2; t_symb.C = +1; t_symb.D = +1; end</v>
      </c>
      <c r="V7" s="2" t="str">
        <f t="shared" si="2"/>
        <v>6'b000011: begin t_symb.A = -2;  t_symb.B = -1; t_symb.C = +1; t_symb.D = 0; end</v>
      </c>
      <c r="W7" s="2" t="str">
        <f t="shared" si="3"/>
        <v>6'b000011: begin t_symb.A = -2;  t_symb.B = -1; t_symb.C = 0; t_symb.D = +1; end</v>
      </c>
    </row>
    <row r="8" spans="1:23" x14ac:dyDescent="0.25">
      <c r="A8" s="1" t="s">
        <v>11</v>
      </c>
      <c r="B8" s="1" t="str" cm="1">
        <f t="array" ref="B8:S8">_xlfn.TEXTSPLIT(TRIM(A8), {" ",",",", "})</f>
        <v>Normal</v>
      </c>
      <c r="C8" s="1" t="str">
        <v>000100</v>
      </c>
      <c r="D8" s="1" t="str">
        <v>0</v>
      </c>
      <c r="E8" s="1" t="str">
        <v>0</v>
      </c>
      <c r="F8" s="1" t="str">
        <v>-2</v>
      </c>
      <c r="G8" s="1" t="str">
        <v>0</v>
      </c>
      <c r="H8" s="1" t="str">
        <v>0</v>
      </c>
      <c r="I8" s="1" t="str">
        <v>0</v>
      </c>
      <c r="J8" s="1" t="str">
        <v>-1</v>
      </c>
      <c r="K8" s="1" t="str">
        <v>+1</v>
      </c>
      <c r="L8" s="1" t="str">
        <v>0</v>
      </c>
      <c r="M8" s="1" t="str">
        <v>+1</v>
      </c>
      <c r="N8" s="1" t="str">
        <v>-1</v>
      </c>
      <c r="O8" s="1" t="str">
        <v>0</v>
      </c>
      <c r="P8" s="1" t="str">
        <v>0</v>
      </c>
      <c r="Q8" s="1" t="str">
        <v>+1</v>
      </c>
      <c r="R8" s="1" t="str">
        <v>-2</v>
      </c>
      <c r="S8" s="1" t="str">
        <v>+1</v>
      </c>
      <c r="T8" s="2" t="str">
        <f t="shared" si="0"/>
        <v>6'b000100: begin t_symb.A = 0;  t_symb.B = 0; t_symb.C = -2; t_symb.D = 0; end</v>
      </c>
      <c r="U8" s="2" t="str">
        <f t="shared" si="1"/>
        <v>6'b000100: begin t_symb.A = 0;  t_symb.B = 0; t_symb.C = -1; t_symb.D = +1; end</v>
      </c>
      <c r="V8" s="2" t="str">
        <f t="shared" si="2"/>
        <v>6'b000100: begin t_symb.A = 0;  t_symb.B = +1; t_symb.C = -1; t_symb.D = 0; end</v>
      </c>
      <c r="W8" s="2" t="str">
        <f t="shared" si="3"/>
        <v>6'b000100: begin t_symb.A = 0;  t_symb.B = +1; t_symb.C = -2; t_symb.D = +1; end</v>
      </c>
    </row>
    <row r="9" spans="1:23" x14ac:dyDescent="0.25">
      <c r="A9" s="1" t="s">
        <v>12</v>
      </c>
      <c r="B9" s="1" t="str" cm="1">
        <f t="array" ref="B9:S9">_xlfn.TEXTSPLIT(TRIM(A9), {" ",",",", "})</f>
        <v>Normal</v>
      </c>
      <c r="C9" s="1" t="str">
        <v>000101</v>
      </c>
      <c r="D9" s="1" t="str">
        <v>-2</v>
      </c>
      <c r="E9" s="1" t="str">
        <v>0</v>
      </c>
      <c r="F9" s="1" t="str">
        <v>-2</v>
      </c>
      <c r="G9" s="1" t="str">
        <v>0</v>
      </c>
      <c r="H9" s="1" t="str">
        <v>-2</v>
      </c>
      <c r="I9" s="1" t="str">
        <v>0</v>
      </c>
      <c r="J9" s="1" t="str">
        <v>-1</v>
      </c>
      <c r="K9" s="1" t="str">
        <v>+1</v>
      </c>
      <c r="L9" s="1" t="str">
        <v>-2</v>
      </c>
      <c r="M9" s="1" t="str">
        <v>+1</v>
      </c>
      <c r="N9" s="1" t="str">
        <v>-1</v>
      </c>
      <c r="O9" s="1" t="str">
        <v>0</v>
      </c>
      <c r="P9" s="1" t="str">
        <v>-2</v>
      </c>
      <c r="Q9" s="1" t="str">
        <v>+1</v>
      </c>
      <c r="R9" s="1" t="str">
        <v>-2</v>
      </c>
      <c r="S9" s="1" t="str">
        <v>+1</v>
      </c>
      <c r="T9" s="2" t="str">
        <f t="shared" si="0"/>
        <v>6'b000101: begin t_symb.A = -2;  t_symb.B = 0; t_symb.C = -2; t_symb.D = 0; end</v>
      </c>
      <c r="U9" s="2" t="str">
        <f t="shared" si="1"/>
        <v>6'b000101: begin t_symb.A = -2;  t_symb.B = 0; t_symb.C = -1; t_symb.D = +1; end</v>
      </c>
      <c r="V9" s="2" t="str">
        <f t="shared" si="2"/>
        <v>6'b000101: begin t_symb.A = -2;  t_symb.B = +1; t_symb.C = -1; t_symb.D = 0; end</v>
      </c>
      <c r="W9" s="2" t="str">
        <f t="shared" si="3"/>
        <v>6'b000101: begin t_symb.A = -2;  t_symb.B = +1; t_symb.C = -2; t_symb.D = +1; end</v>
      </c>
    </row>
    <row r="10" spans="1:23" x14ac:dyDescent="0.25">
      <c r="A10" s="1" t="s">
        <v>13</v>
      </c>
      <c r="B10" s="1" t="str" cm="1">
        <f t="array" ref="B10:S10">_xlfn.TEXTSPLIT(TRIM(A10), {" ",",",", "})</f>
        <v>Normal</v>
      </c>
      <c r="C10" s="1" t="str">
        <v>000110</v>
      </c>
      <c r="D10" s="1" t="str">
        <v>0</v>
      </c>
      <c r="E10" s="1" t="str">
        <v>-2</v>
      </c>
      <c r="F10" s="1" t="str">
        <v>-2</v>
      </c>
      <c r="G10" s="1" t="str">
        <v>0</v>
      </c>
      <c r="H10" s="1" t="str">
        <v>0</v>
      </c>
      <c r="I10" s="1" t="str">
        <v>-2</v>
      </c>
      <c r="J10" s="1" t="str">
        <v>-1</v>
      </c>
      <c r="K10" s="1" t="str">
        <v>+1</v>
      </c>
      <c r="L10" s="1" t="str">
        <v>0</v>
      </c>
      <c r="M10" s="1" t="str">
        <v>-1</v>
      </c>
      <c r="N10" s="1" t="str">
        <v>-1</v>
      </c>
      <c r="O10" s="1" t="str">
        <v>0</v>
      </c>
      <c r="P10" s="1" t="str">
        <v>0</v>
      </c>
      <c r="Q10" s="1" t="str">
        <v>-1</v>
      </c>
      <c r="R10" s="1" t="str">
        <v>-2</v>
      </c>
      <c r="S10" s="1" t="str">
        <v>+1</v>
      </c>
      <c r="T10" s="2" t="str">
        <f t="shared" si="0"/>
        <v>6'b000110: begin t_symb.A = 0;  t_symb.B = -2; t_symb.C = -2; t_symb.D = 0; end</v>
      </c>
      <c r="U10" s="2" t="str">
        <f t="shared" si="1"/>
        <v>6'b000110: begin t_symb.A = 0;  t_symb.B = -2; t_symb.C = -1; t_symb.D = +1; end</v>
      </c>
      <c r="V10" s="2" t="str">
        <f t="shared" si="2"/>
        <v>6'b000110: begin t_symb.A = 0;  t_symb.B = -1; t_symb.C = -1; t_symb.D = 0; end</v>
      </c>
      <c r="W10" s="2" t="str">
        <f t="shared" si="3"/>
        <v>6'b000110: begin t_symb.A = 0;  t_symb.B = -1; t_symb.C = -2; t_symb.D = +1; end</v>
      </c>
    </row>
    <row r="11" spans="1:23" x14ac:dyDescent="0.25">
      <c r="A11" s="1" t="s">
        <v>14</v>
      </c>
      <c r="B11" s="1" t="str" cm="1">
        <f t="array" ref="B11:S11">_xlfn.TEXTSPLIT(TRIM(A11), {" ",",",", "})</f>
        <v>Normal</v>
      </c>
      <c r="C11" s="1" t="str">
        <v>000111</v>
      </c>
      <c r="D11" s="1" t="str">
        <v>-2</v>
      </c>
      <c r="E11" s="1" t="str">
        <v>-2</v>
      </c>
      <c r="F11" s="1" t="str">
        <v>-2</v>
      </c>
      <c r="G11" s="1" t="str">
        <v>0</v>
      </c>
      <c r="H11" s="1" t="str">
        <v>-2</v>
      </c>
      <c r="I11" s="1" t="str">
        <v>-2</v>
      </c>
      <c r="J11" s="1" t="str">
        <v>-1</v>
      </c>
      <c r="K11" s="1" t="str">
        <v>+1</v>
      </c>
      <c r="L11" s="1" t="str">
        <v>-2</v>
      </c>
      <c r="M11" s="1" t="str">
        <v>-1</v>
      </c>
      <c r="N11" s="1" t="str">
        <v>-1</v>
      </c>
      <c r="O11" s="1" t="str">
        <v>0</v>
      </c>
      <c r="P11" s="1" t="str">
        <v>-2</v>
      </c>
      <c r="Q11" s="1" t="str">
        <v>-1</v>
      </c>
      <c r="R11" s="1" t="str">
        <v>-2</v>
      </c>
      <c r="S11" s="1" t="str">
        <v>+1</v>
      </c>
      <c r="T11" s="2" t="str">
        <f t="shared" si="0"/>
        <v>6'b000111: begin t_symb.A = -2;  t_symb.B = -2; t_symb.C = -2; t_symb.D = 0; end</v>
      </c>
      <c r="U11" s="2" t="str">
        <f t="shared" si="1"/>
        <v>6'b000111: begin t_symb.A = -2;  t_symb.B = -2; t_symb.C = -1; t_symb.D = +1; end</v>
      </c>
      <c r="V11" s="2" t="str">
        <f t="shared" si="2"/>
        <v>6'b000111: begin t_symb.A = -2;  t_symb.B = -1; t_symb.C = -1; t_symb.D = 0; end</v>
      </c>
      <c r="W11" s="2" t="str">
        <f t="shared" si="3"/>
        <v>6'b000111: begin t_symb.A = -2;  t_symb.B = -1; t_symb.C = -2; t_symb.D = +1; end</v>
      </c>
    </row>
    <row r="12" spans="1:23" x14ac:dyDescent="0.25">
      <c r="A12" s="1" t="s">
        <v>15</v>
      </c>
      <c r="B12" s="1" t="str" cm="1">
        <f t="array" ref="B12:S12">_xlfn.TEXTSPLIT(TRIM(A12), {" ",",",", "})</f>
        <v>Normal</v>
      </c>
      <c r="C12" s="1" t="str">
        <v>001000</v>
      </c>
      <c r="D12" s="1" t="str">
        <v>0</v>
      </c>
      <c r="E12" s="1" t="str">
        <v>0</v>
      </c>
      <c r="F12" s="1" t="str">
        <v>0</v>
      </c>
      <c r="G12" s="1" t="str">
        <v>-2</v>
      </c>
      <c r="H12" s="1" t="str">
        <v>0</v>
      </c>
      <c r="I12" s="1" t="str">
        <v>0</v>
      </c>
      <c r="J12" s="1" t="str">
        <v>+1</v>
      </c>
      <c r="K12" s="1" t="str">
        <v>-1</v>
      </c>
      <c r="L12" s="1" t="str">
        <v>0</v>
      </c>
      <c r="M12" s="1" t="str">
        <v>+1</v>
      </c>
      <c r="N12" s="1" t="str">
        <v>+1</v>
      </c>
      <c r="O12" s="1" t="str">
        <v>-2</v>
      </c>
      <c r="P12" s="1" t="str">
        <v>0</v>
      </c>
      <c r="Q12" s="1" t="str">
        <v>+1</v>
      </c>
      <c r="R12" s="1" t="str">
        <v>0</v>
      </c>
      <c r="S12" s="1" t="str">
        <v>-1</v>
      </c>
      <c r="T12" s="2" t="str">
        <f t="shared" si="0"/>
        <v>6'b001000: begin t_symb.A = 0;  t_symb.B = 0; t_symb.C = 0; t_symb.D = -2; end</v>
      </c>
      <c r="U12" s="2" t="str">
        <f t="shared" si="1"/>
        <v>6'b001000: begin t_symb.A = 0;  t_symb.B = 0; t_symb.C = +1; t_symb.D = -1; end</v>
      </c>
      <c r="V12" s="2" t="str">
        <f t="shared" si="2"/>
        <v>6'b001000: begin t_symb.A = 0;  t_symb.B = +1; t_symb.C = +1; t_symb.D = -2; end</v>
      </c>
      <c r="W12" s="2" t="str">
        <f t="shared" si="3"/>
        <v>6'b001000: begin t_symb.A = 0;  t_symb.B = +1; t_symb.C = 0; t_symb.D = -1; end</v>
      </c>
    </row>
    <row r="13" spans="1:23" x14ac:dyDescent="0.25">
      <c r="A13" s="1" t="s">
        <v>16</v>
      </c>
      <c r="B13" s="1" t="str" cm="1">
        <f t="array" ref="B13:S13">_xlfn.TEXTSPLIT(TRIM(A13), {" ",",",", "})</f>
        <v>Normal</v>
      </c>
      <c r="C13" s="1" t="str">
        <v>001001</v>
      </c>
      <c r="D13" s="1" t="str">
        <v>-2</v>
      </c>
      <c r="E13" s="1" t="str">
        <v>0</v>
      </c>
      <c r="F13" s="1" t="str">
        <v>0</v>
      </c>
      <c r="G13" s="1" t="str">
        <v>-2</v>
      </c>
      <c r="H13" s="1" t="str">
        <v>-2</v>
      </c>
      <c r="I13" s="1" t="str">
        <v>0</v>
      </c>
      <c r="J13" s="1" t="str">
        <v>+1</v>
      </c>
      <c r="K13" s="1" t="str">
        <v>-1</v>
      </c>
      <c r="L13" s="1" t="str">
        <v>-2</v>
      </c>
      <c r="M13" s="1" t="str">
        <v>+1</v>
      </c>
      <c r="N13" s="1" t="str">
        <v>+1</v>
      </c>
      <c r="O13" s="1" t="str">
        <v>-2</v>
      </c>
      <c r="P13" s="1" t="str">
        <v>-2</v>
      </c>
      <c r="Q13" s="1" t="str">
        <v>+1</v>
      </c>
      <c r="R13" s="1" t="str">
        <v>0</v>
      </c>
      <c r="S13" s="1" t="str">
        <v>-1</v>
      </c>
      <c r="T13" s="2" t="str">
        <f t="shared" si="0"/>
        <v>6'b001001: begin t_symb.A = -2;  t_symb.B = 0; t_symb.C = 0; t_symb.D = -2; end</v>
      </c>
      <c r="U13" s="2" t="str">
        <f t="shared" si="1"/>
        <v>6'b001001: begin t_symb.A = -2;  t_symb.B = 0; t_symb.C = +1; t_symb.D = -1; end</v>
      </c>
      <c r="V13" s="2" t="str">
        <f t="shared" si="2"/>
        <v>6'b001001: begin t_symb.A = -2;  t_symb.B = +1; t_symb.C = +1; t_symb.D = -2; end</v>
      </c>
      <c r="W13" s="2" t="str">
        <f t="shared" si="3"/>
        <v>6'b001001: begin t_symb.A = -2;  t_symb.B = +1; t_symb.C = 0; t_symb.D = -1; end</v>
      </c>
    </row>
    <row r="14" spans="1:23" x14ac:dyDescent="0.25">
      <c r="A14" s="1" t="s">
        <v>17</v>
      </c>
      <c r="B14" s="1" t="str" cm="1">
        <f t="array" ref="B14:S14">_xlfn.TEXTSPLIT(TRIM(A14), {" ",",",", "})</f>
        <v>Normal</v>
      </c>
      <c r="C14" s="1" t="str">
        <v>001010</v>
      </c>
      <c r="D14" s="1" t="str">
        <v>0</v>
      </c>
      <c r="E14" s="1" t="str">
        <v>-2</v>
      </c>
      <c r="F14" s="1" t="str">
        <v>0</v>
      </c>
      <c r="G14" s="1" t="str">
        <v>-2</v>
      </c>
      <c r="H14" s="1" t="str">
        <v>0</v>
      </c>
      <c r="I14" s="1" t="str">
        <v>-2</v>
      </c>
      <c r="J14" s="1" t="str">
        <v>+1</v>
      </c>
      <c r="K14" s="1" t="str">
        <v>-1</v>
      </c>
      <c r="L14" s="1" t="str">
        <v>0</v>
      </c>
      <c r="M14" s="1" t="str">
        <v>-1</v>
      </c>
      <c r="N14" s="1" t="str">
        <v>+1</v>
      </c>
      <c r="O14" s="1" t="str">
        <v>-2</v>
      </c>
      <c r="P14" s="1" t="str">
        <v>0</v>
      </c>
      <c r="Q14" s="1" t="str">
        <v>-1</v>
      </c>
      <c r="R14" s="1" t="str">
        <v>0</v>
      </c>
      <c r="S14" s="1" t="str">
        <v>-1</v>
      </c>
      <c r="T14" s="2" t="str">
        <f t="shared" si="0"/>
        <v>6'b001010: begin t_symb.A = 0;  t_symb.B = -2; t_symb.C = 0; t_symb.D = -2; end</v>
      </c>
      <c r="U14" s="2" t="str">
        <f t="shared" si="1"/>
        <v>6'b001010: begin t_symb.A = 0;  t_symb.B = -2; t_symb.C = +1; t_symb.D = -1; end</v>
      </c>
      <c r="V14" s="2" t="str">
        <f t="shared" si="2"/>
        <v>6'b001010: begin t_symb.A = 0;  t_symb.B = -1; t_symb.C = +1; t_symb.D = -2; end</v>
      </c>
      <c r="W14" s="2" t="str">
        <f t="shared" si="3"/>
        <v>6'b001010: begin t_symb.A = 0;  t_symb.B = -1; t_symb.C = 0; t_symb.D = -1; end</v>
      </c>
    </row>
    <row r="15" spans="1:23" x14ac:dyDescent="0.25">
      <c r="A15" s="1" t="s">
        <v>18</v>
      </c>
      <c r="B15" s="1" t="str" cm="1">
        <f t="array" ref="B15:S15">_xlfn.TEXTSPLIT(TRIM(A15), {" ",",",", "})</f>
        <v>Normal</v>
      </c>
      <c r="C15" s="1" t="str">
        <v>001011</v>
      </c>
      <c r="D15" s="1" t="str">
        <v>-2</v>
      </c>
      <c r="E15" s="1" t="str">
        <v>-2</v>
      </c>
      <c r="F15" s="1" t="str">
        <v>0</v>
      </c>
      <c r="G15" s="1" t="str">
        <v>-2</v>
      </c>
      <c r="H15" s="1" t="str">
        <v>-2</v>
      </c>
      <c r="I15" s="1" t="str">
        <v>-2</v>
      </c>
      <c r="J15" s="1" t="str">
        <v>+1</v>
      </c>
      <c r="K15" s="1" t="str">
        <v>-1</v>
      </c>
      <c r="L15" s="1" t="str">
        <v>-2</v>
      </c>
      <c r="M15" s="1" t="str">
        <v>-1</v>
      </c>
      <c r="N15" s="1" t="str">
        <v>+1</v>
      </c>
      <c r="O15" s="1" t="str">
        <v>-2</v>
      </c>
      <c r="P15" s="1" t="str">
        <v>-2</v>
      </c>
      <c r="Q15" s="1" t="str">
        <v>-1</v>
      </c>
      <c r="R15" s="1" t="str">
        <v>0</v>
      </c>
      <c r="S15" s="1" t="str">
        <v>-1</v>
      </c>
      <c r="T15" s="2" t="str">
        <f t="shared" si="0"/>
        <v>6'b001011: begin t_symb.A = -2;  t_symb.B = -2; t_symb.C = 0; t_symb.D = -2; end</v>
      </c>
      <c r="U15" s="2" t="str">
        <f t="shared" si="1"/>
        <v>6'b001011: begin t_symb.A = -2;  t_symb.B = -2; t_symb.C = +1; t_symb.D = -1; end</v>
      </c>
      <c r="V15" s="2" t="str">
        <f t="shared" si="2"/>
        <v>6'b001011: begin t_symb.A = -2;  t_symb.B = -1; t_symb.C = +1; t_symb.D = -2; end</v>
      </c>
      <c r="W15" s="2" t="str">
        <f t="shared" si="3"/>
        <v>6'b001011: begin t_symb.A = -2;  t_symb.B = -1; t_symb.C = 0; t_symb.D = -1; end</v>
      </c>
    </row>
    <row r="16" spans="1:23" x14ac:dyDescent="0.25">
      <c r="A16" s="1" t="s">
        <v>19</v>
      </c>
      <c r="B16" s="1" t="str" cm="1">
        <f t="array" ref="B16:S16">_xlfn.TEXTSPLIT(TRIM(A16), {" ",",",", "})</f>
        <v>Normal</v>
      </c>
      <c r="C16" s="1" t="str">
        <v>001100</v>
      </c>
      <c r="D16" s="1" t="str">
        <v>0</v>
      </c>
      <c r="E16" s="1" t="str">
        <v>0</v>
      </c>
      <c r="F16" s="1" t="str">
        <v>-2</v>
      </c>
      <c r="G16" s="1" t="str">
        <v>-2</v>
      </c>
      <c r="H16" s="1" t="str">
        <v>0</v>
      </c>
      <c r="I16" s="1" t="str">
        <v>0</v>
      </c>
      <c r="J16" s="1" t="str">
        <v>-1</v>
      </c>
      <c r="K16" s="1" t="str">
        <v>-1</v>
      </c>
      <c r="L16" s="1" t="str">
        <v>0</v>
      </c>
      <c r="M16" s="1" t="str">
        <v>+1</v>
      </c>
      <c r="N16" s="1" t="str">
        <v>-1</v>
      </c>
      <c r="O16" s="1" t="str">
        <v>-2</v>
      </c>
      <c r="P16" s="1" t="str">
        <v>0</v>
      </c>
      <c r="Q16" s="1" t="str">
        <v>+1</v>
      </c>
      <c r="R16" s="1" t="str">
        <v>-2</v>
      </c>
      <c r="S16" s="1" t="str">
        <v>-1</v>
      </c>
      <c r="T16" s="2" t="str">
        <f t="shared" si="0"/>
        <v>6'b001100: begin t_symb.A = 0;  t_symb.B = 0; t_symb.C = -2; t_symb.D = -2; end</v>
      </c>
      <c r="U16" s="2" t="str">
        <f t="shared" si="1"/>
        <v>6'b001100: begin t_symb.A = 0;  t_symb.B = 0; t_symb.C = -1; t_symb.D = -1; end</v>
      </c>
      <c r="V16" s="2" t="str">
        <f t="shared" si="2"/>
        <v>6'b001100: begin t_symb.A = 0;  t_symb.B = +1; t_symb.C = -1; t_symb.D = -2; end</v>
      </c>
      <c r="W16" s="2" t="str">
        <f t="shared" si="3"/>
        <v>6'b001100: begin t_symb.A = 0;  t_symb.B = +1; t_symb.C = -2; t_symb.D = -1; end</v>
      </c>
    </row>
    <row r="17" spans="1:23" x14ac:dyDescent="0.25">
      <c r="A17" s="1" t="s">
        <v>20</v>
      </c>
      <c r="B17" s="1" t="str" cm="1">
        <f t="array" ref="B17:S17">_xlfn.TEXTSPLIT(TRIM(A17), {" ",",",", "})</f>
        <v>Normal</v>
      </c>
      <c r="C17" s="1" t="str">
        <v>001101</v>
      </c>
      <c r="D17" s="1" t="str">
        <v>-2</v>
      </c>
      <c r="E17" s="1" t="str">
        <v>0</v>
      </c>
      <c r="F17" s="1" t="str">
        <v>-2</v>
      </c>
      <c r="G17" s="1" t="str">
        <v>-2</v>
      </c>
      <c r="H17" s="1" t="str">
        <v>-2</v>
      </c>
      <c r="I17" s="1" t="str">
        <v>0</v>
      </c>
      <c r="J17" s="1" t="str">
        <v>-1</v>
      </c>
      <c r="K17" s="1" t="str">
        <v>-1</v>
      </c>
      <c r="L17" s="1" t="str">
        <v>-2</v>
      </c>
      <c r="M17" s="1" t="str">
        <v>+1</v>
      </c>
      <c r="N17" s="1" t="str">
        <v>-1</v>
      </c>
      <c r="O17" s="1" t="str">
        <v>-2</v>
      </c>
      <c r="P17" s="1" t="str">
        <v>-2</v>
      </c>
      <c r="Q17" s="1" t="str">
        <v>+1</v>
      </c>
      <c r="R17" s="1" t="str">
        <v>-2</v>
      </c>
      <c r="S17" s="1" t="str">
        <v>-1</v>
      </c>
      <c r="T17" s="2" t="str">
        <f t="shared" si="0"/>
        <v>6'b001101: begin t_symb.A = -2;  t_symb.B = 0; t_symb.C = -2; t_symb.D = -2; end</v>
      </c>
      <c r="U17" s="2" t="str">
        <f t="shared" si="1"/>
        <v>6'b001101: begin t_symb.A = -2;  t_symb.B = 0; t_symb.C = -1; t_symb.D = -1; end</v>
      </c>
      <c r="V17" s="2" t="str">
        <f t="shared" si="2"/>
        <v>6'b001101: begin t_symb.A = -2;  t_symb.B = +1; t_symb.C = -1; t_symb.D = -2; end</v>
      </c>
      <c r="W17" s="2" t="str">
        <f t="shared" si="3"/>
        <v>6'b001101: begin t_symb.A = -2;  t_symb.B = +1; t_symb.C = -2; t_symb.D = -1; end</v>
      </c>
    </row>
    <row r="18" spans="1:23" x14ac:dyDescent="0.25">
      <c r="A18" s="1" t="s">
        <v>21</v>
      </c>
      <c r="B18" s="1" t="str" cm="1">
        <f t="array" ref="B18:S18">_xlfn.TEXTSPLIT(TRIM(A18), {" ",",",", "})</f>
        <v>Normal</v>
      </c>
      <c r="C18" s="1" t="str">
        <v>001110</v>
      </c>
      <c r="D18" s="1" t="str">
        <v>0</v>
      </c>
      <c r="E18" s="1" t="str">
        <v>-2</v>
      </c>
      <c r="F18" s="1" t="str">
        <v>-2</v>
      </c>
      <c r="G18" s="1" t="str">
        <v>-2</v>
      </c>
      <c r="H18" s="1" t="str">
        <v>0</v>
      </c>
      <c r="I18" s="1" t="str">
        <v>-2</v>
      </c>
      <c r="J18" s="1" t="str">
        <v>-1</v>
      </c>
      <c r="K18" s="1" t="str">
        <v>-1</v>
      </c>
      <c r="L18" s="1" t="str">
        <v>0</v>
      </c>
      <c r="M18" s="1" t="str">
        <v>-1</v>
      </c>
      <c r="N18" s="1" t="str">
        <v>-1</v>
      </c>
      <c r="O18" s="1" t="str">
        <v>-2</v>
      </c>
      <c r="P18" s="1" t="str">
        <v>0</v>
      </c>
      <c r="Q18" s="1" t="str">
        <v>-1</v>
      </c>
      <c r="R18" s="1" t="str">
        <v>-2</v>
      </c>
      <c r="S18" s="1" t="str">
        <v>-1</v>
      </c>
      <c r="T18" s="2" t="str">
        <f t="shared" si="0"/>
        <v>6'b001110: begin t_symb.A = 0;  t_symb.B = -2; t_symb.C = -2; t_symb.D = -2; end</v>
      </c>
      <c r="U18" s="2" t="str">
        <f t="shared" si="1"/>
        <v>6'b001110: begin t_symb.A = 0;  t_symb.B = -2; t_symb.C = -1; t_symb.D = -1; end</v>
      </c>
      <c r="V18" s="2" t="str">
        <f t="shared" si="2"/>
        <v>6'b001110: begin t_symb.A = 0;  t_symb.B = -1; t_symb.C = -1; t_symb.D = -2; end</v>
      </c>
      <c r="W18" s="2" t="str">
        <f t="shared" si="3"/>
        <v>6'b001110: begin t_symb.A = 0;  t_symb.B = -1; t_symb.C = -2; t_symb.D = -1; end</v>
      </c>
    </row>
    <row r="19" spans="1:23" x14ac:dyDescent="0.25">
      <c r="A19" s="1" t="s">
        <v>22</v>
      </c>
      <c r="B19" s="1" t="str" cm="1">
        <f t="array" ref="B19:S19">_xlfn.TEXTSPLIT(TRIM(A19), {" ",",",", "})</f>
        <v>Normal</v>
      </c>
      <c r="C19" s="1" t="str">
        <v>001111</v>
      </c>
      <c r="D19" s="1" t="str">
        <v>-2</v>
      </c>
      <c r="E19" s="1" t="str">
        <v>-2</v>
      </c>
      <c r="F19" s="1" t="str">
        <v>-2</v>
      </c>
      <c r="G19" s="1" t="str">
        <v>-2</v>
      </c>
      <c r="H19" s="1" t="str">
        <v>-2</v>
      </c>
      <c r="I19" s="1" t="str">
        <v>-2</v>
      </c>
      <c r="J19" s="1" t="str">
        <v>-1</v>
      </c>
      <c r="K19" s="1" t="str">
        <v>-1</v>
      </c>
      <c r="L19" s="1" t="str">
        <v>-2</v>
      </c>
      <c r="M19" s="1" t="str">
        <v>-1</v>
      </c>
      <c r="N19" s="1" t="str">
        <v>-1</v>
      </c>
      <c r="O19" s="1" t="str">
        <v>-2</v>
      </c>
      <c r="P19" s="1" t="str">
        <v>-2</v>
      </c>
      <c r="Q19" s="1" t="str">
        <v>-1</v>
      </c>
      <c r="R19" s="1" t="str">
        <v>-2</v>
      </c>
      <c r="S19" s="1" t="str">
        <v>-1</v>
      </c>
      <c r="T19" s="2" t="str">
        <f t="shared" si="0"/>
        <v>6'b001111: begin t_symb.A = -2;  t_symb.B = -2; t_symb.C = -2; t_symb.D = -2; end</v>
      </c>
      <c r="U19" s="2" t="str">
        <f t="shared" si="1"/>
        <v>6'b001111: begin t_symb.A = -2;  t_symb.B = -2; t_symb.C = -1; t_symb.D = -1; end</v>
      </c>
      <c r="V19" s="2" t="str">
        <f t="shared" si="2"/>
        <v>6'b001111: begin t_symb.A = -2;  t_symb.B = -1; t_symb.C = -1; t_symb.D = -2; end</v>
      </c>
      <c r="W19" s="2" t="str">
        <f t="shared" si="3"/>
        <v>6'b001111: begin t_symb.A = -2;  t_symb.B = -1; t_symb.C = -2; t_symb.D = -1; end</v>
      </c>
    </row>
    <row r="20" spans="1:23" x14ac:dyDescent="0.25">
      <c r="A20" s="1" t="s">
        <v>23</v>
      </c>
      <c r="B20" s="1" t="str" cm="1">
        <f t="array" ref="B20:S20">_xlfn.TEXTSPLIT(TRIM(A20), {" ",",",", "})</f>
        <v>Normal</v>
      </c>
      <c r="C20" s="1" t="str">
        <v>010000</v>
      </c>
      <c r="D20" s="1" t="str">
        <v>+1</v>
      </c>
      <c r="E20" s="1" t="str">
        <v>+1</v>
      </c>
      <c r="F20" s="1" t="str">
        <v>+1</v>
      </c>
      <c r="G20" s="1" t="str">
        <v>+1</v>
      </c>
      <c r="H20" s="1" t="str">
        <v>+1</v>
      </c>
      <c r="I20" s="1" t="str">
        <v>+1</v>
      </c>
      <c r="J20" s="1" t="str">
        <v>0</v>
      </c>
      <c r="K20" s="1" t="str">
        <v>0</v>
      </c>
      <c r="L20" s="1" t="str">
        <v>+1</v>
      </c>
      <c r="M20" s="1" t="str">
        <v>0</v>
      </c>
      <c r="N20" s="1" t="str">
        <v>0</v>
      </c>
      <c r="O20" s="1" t="str">
        <v>+1</v>
      </c>
      <c r="P20" s="1" t="str">
        <v>+1</v>
      </c>
      <c r="Q20" s="1" t="str">
        <v>0</v>
      </c>
      <c r="R20" s="1" t="str">
        <v>+1</v>
      </c>
      <c r="S20" s="1" t="str">
        <v>0</v>
      </c>
      <c r="T20" s="2" t="str">
        <f t="shared" si="0"/>
        <v>6'b010000: begin t_symb.A = +1;  t_symb.B = +1; t_symb.C = +1; t_symb.D = +1; end</v>
      </c>
      <c r="U20" s="2" t="str">
        <f t="shared" si="1"/>
        <v>6'b010000: begin t_symb.A = +1;  t_symb.B = +1; t_symb.C = 0; t_symb.D = 0; end</v>
      </c>
      <c r="V20" s="2" t="str">
        <f t="shared" si="2"/>
        <v>6'b010000: begin t_symb.A = +1;  t_symb.B = 0; t_symb.C = 0; t_symb.D = +1; end</v>
      </c>
      <c r="W20" s="2" t="str">
        <f t="shared" si="3"/>
        <v>6'b010000: begin t_symb.A = +1;  t_symb.B = 0; t_symb.C = +1; t_symb.D = 0; end</v>
      </c>
    </row>
    <row r="21" spans="1:23" x14ac:dyDescent="0.25">
      <c r="A21" s="1" t="s">
        <v>24</v>
      </c>
      <c r="B21" s="1" t="str" cm="1">
        <f t="array" ref="B21:S21">_xlfn.TEXTSPLIT(TRIM(A21), {" ",",",", "})</f>
        <v>Normal</v>
      </c>
      <c r="C21" s="1" t="str">
        <v>010001</v>
      </c>
      <c r="D21" s="1" t="str">
        <v>-1</v>
      </c>
      <c r="E21" s="1" t="str">
        <v>+1</v>
      </c>
      <c r="F21" s="1" t="str">
        <v>+1</v>
      </c>
      <c r="G21" s="1" t="str">
        <v>+1</v>
      </c>
      <c r="H21" s="1" t="str">
        <v>-1</v>
      </c>
      <c r="I21" s="1" t="str">
        <v>+1</v>
      </c>
      <c r="J21" s="1" t="str">
        <v>0</v>
      </c>
      <c r="K21" s="1" t="str">
        <v>0</v>
      </c>
      <c r="L21" s="1" t="str">
        <v>-1</v>
      </c>
      <c r="M21" s="1" t="str">
        <v>0</v>
      </c>
      <c r="N21" s="1" t="str">
        <v>0</v>
      </c>
      <c r="O21" s="1" t="str">
        <v>+1</v>
      </c>
      <c r="P21" s="1" t="str">
        <v>-1</v>
      </c>
      <c r="Q21" s="1" t="str">
        <v>0</v>
      </c>
      <c r="R21" s="1" t="str">
        <v>+1</v>
      </c>
      <c r="S21" s="1" t="str">
        <v>0</v>
      </c>
      <c r="T21" s="2" t="str">
        <f t="shared" si="0"/>
        <v>6'b010001: begin t_symb.A = -1;  t_symb.B = +1; t_symb.C = +1; t_symb.D = +1; end</v>
      </c>
      <c r="U21" s="2" t="str">
        <f t="shared" si="1"/>
        <v>6'b010001: begin t_symb.A = -1;  t_symb.B = +1; t_symb.C = 0; t_symb.D = 0; end</v>
      </c>
      <c r="V21" s="2" t="str">
        <f t="shared" si="2"/>
        <v>6'b010001: begin t_symb.A = -1;  t_symb.B = 0; t_symb.C = 0; t_symb.D = +1; end</v>
      </c>
      <c r="W21" s="2" t="str">
        <f t="shared" si="3"/>
        <v>6'b010001: begin t_symb.A = -1;  t_symb.B = 0; t_symb.C = +1; t_symb.D = 0; end</v>
      </c>
    </row>
    <row r="22" spans="1:23" x14ac:dyDescent="0.25">
      <c r="A22" s="1" t="s">
        <v>25</v>
      </c>
      <c r="B22" s="1" t="str" cm="1">
        <f t="array" ref="B22:S22">_xlfn.TEXTSPLIT(TRIM(A22), {" ",",",", "})</f>
        <v>Normal</v>
      </c>
      <c r="C22" s="1" t="str">
        <v>010010</v>
      </c>
      <c r="D22" s="1" t="str">
        <v>+1</v>
      </c>
      <c r="E22" s="1" t="str">
        <v>-1</v>
      </c>
      <c r="F22" s="1" t="str">
        <v>+1</v>
      </c>
      <c r="G22" s="1" t="str">
        <v>+1</v>
      </c>
      <c r="H22" s="1" t="str">
        <v>+1</v>
      </c>
      <c r="I22" s="1" t="str">
        <v>-1</v>
      </c>
      <c r="J22" s="1" t="str">
        <v>0</v>
      </c>
      <c r="K22" s="1" t="str">
        <v>0</v>
      </c>
      <c r="L22" s="1" t="str">
        <v>+1</v>
      </c>
      <c r="M22" s="1" t="str">
        <v>-2</v>
      </c>
      <c r="N22" s="1" t="str">
        <v>0</v>
      </c>
      <c r="O22" s="1" t="str">
        <v>+1</v>
      </c>
      <c r="P22" s="1" t="str">
        <v>+1</v>
      </c>
      <c r="Q22" s="1" t="str">
        <v>-2</v>
      </c>
      <c r="R22" s="1" t="str">
        <v>+1</v>
      </c>
      <c r="S22" s="1" t="str">
        <v>0</v>
      </c>
      <c r="T22" s="2" t="str">
        <f t="shared" si="0"/>
        <v>6'b010010: begin t_symb.A = +1;  t_symb.B = -1; t_symb.C = +1; t_symb.D = +1; end</v>
      </c>
      <c r="U22" s="2" t="str">
        <f t="shared" si="1"/>
        <v>6'b010010: begin t_symb.A = +1;  t_symb.B = -1; t_symb.C = 0; t_symb.D = 0; end</v>
      </c>
      <c r="V22" s="2" t="str">
        <f t="shared" si="2"/>
        <v>6'b010010: begin t_symb.A = +1;  t_symb.B = -2; t_symb.C = 0; t_symb.D = +1; end</v>
      </c>
      <c r="W22" s="2" t="str">
        <f t="shared" si="3"/>
        <v>6'b010010: begin t_symb.A = +1;  t_symb.B = -2; t_symb.C = +1; t_symb.D = 0; end</v>
      </c>
    </row>
    <row r="23" spans="1:23" x14ac:dyDescent="0.25">
      <c r="A23" s="1" t="s">
        <v>26</v>
      </c>
      <c r="B23" s="1" t="str" cm="1">
        <f t="array" ref="B23:S23">_xlfn.TEXTSPLIT(TRIM(A23), {" ",",",", "})</f>
        <v>Normal</v>
      </c>
      <c r="C23" s="1" t="str">
        <v>010011</v>
      </c>
      <c r="D23" s="1" t="str">
        <v>-1</v>
      </c>
      <c r="E23" s="1" t="str">
        <v>-1</v>
      </c>
      <c r="F23" s="1" t="str">
        <v>+1</v>
      </c>
      <c r="G23" s="1" t="str">
        <v>+1</v>
      </c>
      <c r="H23" s="1" t="str">
        <v>-1</v>
      </c>
      <c r="I23" s="1" t="str">
        <v>-1</v>
      </c>
      <c r="J23" s="1" t="str">
        <v>0</v>
      </c>
      <c r="K23" s="1" t="str">
        <v>0</v>
      </c>
      <c r="L23" s="1" t="str">
        <v>-1</v>
      </c>
      <c r="M23" s="1" t="str">
        <v>-2</v>
      </c>
      <c r="N23" s="1" t="str">
        <v>0</v>
      </c>
      <c r="O23" s="1" t="str">
        <v>+1</v>
      </c>
      <c r="P23" s="1" t="str">
        <v>-1</v>
      </c>
      <c r="Q23" s="1" t="str">
        <v>-2</v>
      </c>
      <c r="R23" s="1" t="str">
        <v>+1</v>
      </c>
      <c r="S23" s="1" t="str">
        <v>0</v>
      </c>
      <c r="T23" s="2" t="str">
        <f t="shared" si="0"/>
        <v>6'b010011: begin t_symb.A = -1;  t_symb.B = -1; t_symb.C = +1; t_symb.D = +1; end</v>
      </c>
      <c r="U23" s="2" t="str">
        <f t="shared" si="1"/>
        <v>6'b010011: begin t_symb.A = -1;  t_symb.B = -1; t_symb.C = 0; t_symb.D = 0; end</v>
      </c>
      <c r="V23" s="2" t="str">
        <f t="shared" si="2"/>
        <v>6'b010011: begin t_symb.A = -1;  t_symb.B = -2; t_symb.C = 0; t_symb.D = +1; end</v>
      </c>
      <c r="W23" s="2" t="str">
        <f t="shared" si="3"/>
        <v>6'b010011: begin t_symb.A = -1;  t_symb.B = -2; t_symb.C = +1; t_symb.D = 0; end</v>
      </c>
    </row>
    <row r="24" spans="1:23" x14ac:dyDescent="0.25">
      <c r="A24" s="1" t="s">
        <v>27</v>
      </c>
      <c r="B24" s="1" t="str" cm="1">
        <f t="array" ref="B24:S24">_xlfn.TEXTSPLIT(TRIM(A24), {" ",",",", "})</f>
        <v>Normal</v>
      </c>
      <c r="C24" s="1" t="str">
        <v>010100</v>
      </c>
      <c r="D24" s="1" t="str">
        <v>+1</v>
      </c>
      <c r="E24" s="1" t="str">
        <v>+1</v>
      </c>
      <c r="F24" s="1" t="str">
        <v>-1</v>
      </c>
      <c r="G24" s="1" t="str">
        <v>+1</v>
      </c>
      <c r="H24" s="1" t="str">
        <v>+1</v>
      </c>
      <c r="I24" s="1" t="str">
        <v>+1</v>
      </c>
      <c r="J24" s="1" t="str">
        <v>-2</v>
      </c>
      <c r="K24" s="1" t="str">
        <v>0</v>
      </c>
      <c r="L24" s="1" t="str">
        <v>+1</v>
      </c>
      <c r="M24" s="1" t="str">
        <v>0</v>
      </c>
      <c r="N24" s="1" t="str">
        <v>-2</v>
      </c>
      <c r="O24" s="1" t="str">
        <v>+1</v>
      </c>
      <c r="P24" s="1" t="str">
        <v>+1</v>
      </c>
      <c r="Q24" s="1" t="str">
        <v>0</v>
      </c>
      <c r="R24" s="1" t="str">
        <v>-1</v>
      </c>
      <c r="S24" s="1" t="str">
        <v>0</v>
      </c>
      <c r="T24" s="2" t="str">
        <f t="shared" si="0"/>
        <v>6'b010100: begin t_symb.A = +1;  t_symb.B = +1; t_symb.C = -1; t_symb.D = +1; end</v>
      </c>
      <c r="U24" s="2" t="str">
        <f t="shared" si="1"/>
        <v>6'b010100: begin t_symb.A = +1;  t_symb.B = +1; t_symb.C = -2; t_symb.D = 0; end</v>
      </c>
      <c r="V24" s="2" t="str">
        <f t="shared" si="2"/>
        <v>6'b010100: begin t_symb.A = +1;  t_symb.B = 0; t_symb.C = -2; t_symb.D = +1; end</v>
      </c>
      <c r="W24" s="2" t="str">
        <f t="shared" si="3"/>
        <v>6'b010100: begin t_symb.A = +1;  t_symb.B = 0; t_symb.C = -1; t_symb.D = 0; end</v>
      </c>
    </row>
    <row r="25" spans="1:23" x14ac:dyDescent="0.25">
      <c r="A25" s="1" t="s">
        <v>28</v>
      </c>
      <c r="B25" s="1" t="str" cm="1">
        <f t="array" ref="B25:S25">_xlfn.TEXTSPLIT(TRIM(A25), {" ",",",", "})</f>
        <v>Normal</v>
      </c>
      <c r="C25" s="1" t="str">
        <v>010101</v>
      </c>
      <c r="D25" s="1" t="str">
        <v>-1</v>
      </c>
      <c r="E25" s="1" t="str">
        <v>+1</v>
      </c>
      <c r="F25" s="1" t="str">
        <v>-1</v>
      </c>
      <c r="G25" s="1" t="str">
        <v>+1</v>
      </c>
      <c r="H25" s="1" t="str">
        <v>-1</v>
      </c>
      <c r="I25" s="1" t="str">
        <v>+1</v>
      </c>
      <c r="J25" s="1" t="str">
        <v>-2</v>
      </c>
      <c r="K25" s="1" t="str">
        <v>0</v>
      </c>
      <c r="L25" s="1" t="str">
        <v>-1</v>
      </c>
      <c r="M25" s="1" t="str">
        <v>0</v>
      </c>
      <c r="N25" s="1" t="str">
        <v>-2</v>
      </c>
      <c r="O25" s="1" t="str">
        <v>+1</v>
      </c>
      <c r="P25" s="1" t="str">
        <v>-1</v>
      </c>
      <c r="Q25" s="1" t="str">
        <v>0</v>
      </c>
      <c r="R25" s="1" t="str">
        <v>-1</v>
      </c>
      <c r="S25" s="1" t="str">
        <v>0</v>
      </c>
      <c r="T25" s="2" t="str">
        <f t="shared" si="0"/>
        <v>6'b010101: begin t_symb.A = -1;  t_symb.B = +1; t_symb.C = -1; t_symb.D = +1; end</v>
      </c>
      <c r="U25" s="2" t="str">
        <f t="shared" si="1"/>
        <v>6'b010101: begin t_symb.A = -1;  t_symb.B = +1; t_symb.C = -2; t_symb.D = 0; end</v>
      </c>
      <c r="V25" s="2" t="str">
        <f t="shared" si="2"/>
        <v>6'b010101: begin t_symb.A = -1;  t_symb.B = 0; t_symb.C = -2; t_symb.D = +1; end</v>
      </c>
      <c r="W25" s="2" t="str">
        <f t="shared" si="3"/>
        <v>6'b010101: begin t_symb.A = -1;  t_symb.B = 0; t_symb.C = -1; t_symb.D = 0; end</v>
      </c>
    </row>
    <row r="26" spans="1:23" x14ac:dyDescent="0.25">
      <c r="A26" s="1" t="s">
        <v>29</v>
      </c>
      <c r="B26" s="1" t="str" cm="1">
        <f t="array" ref="B26:S26">_xlfn.TEXTSPLIT(TRIM(A26), {" ",",",", "})</f>
        <v>Normal</v>
      </c>
      <c r="C26" s="1" t="str">
        <v>010110</v>
      </c>
      <c r="D26" s="1" t="str">
        <v>+1</v>
      </c>
      <c r="E26" s="1" t="str">
        <v>-1</v>
      </c>
      <c r="F26" s="1" t="str">
        <v>-1</v>
      </c>
      <c r="G26" s="1" t="str">
        <v>+1</v>
      </c>
      <c r="H26" s="1" t="str">
        <v>+1</v>
      </c>
      <c r="I26" s="1" t="str">
        <v>-1</v>
      </c>
      <c r="J26" s="1" t="str">
        <v>-2</v>
      </c>
      <c r="K26" s="1" t="str">
        <v>0</v>
      </c>
      <c r="L26" s="1" t="str">
        <v>+1</v>
      </c>
      <c r="M26" s="1" t="str">
        <v>-2</v>
      </c>
      <c r="N26" s="1" t="str">
        <v>-2</v>
      </c>
      <c r="O26" s="1" t="str">
        <v>+1</v>
      </c>
      <c r="P26" s="1" t="str">
        <v>+1</v>
      </c>
      <c r="Q26" s="1" t="str">
        <v>-2</v>
      </c>
      <c r="R26" s="1" t="str">
        <v>-1</v>
      </c>
      <c r="S26" s="1" t="str">
        <v>0</v>
      </c>
      <c r="T26" s="2" t="str">
        <f t="shared" si="0"/>
        <v>6'b010110: begin t_symb.A = +1;  t_symb.B = -1; t_symb.C = -1; t_symb.D = +1; end</v>
      </c>
      <c r="U26" s="2" t="str">
        <f t="shared" si="1"/>
        <v>6'b010110: begin t_symb.A = +1;  t_symb.B = -1; t_symb.C = -2; t_symb.D = 0; end</v>
      </c>
      <c r="V26" s="2" t="str">
        <f t="shared" si="2"/>
        <v>6'b010110: begin t_symb.A = +1;  t_symb.B = -2; t_symb.C = -2; t_symb.D = +1; end</v>
      </c>
      <c r="W26" s="2" t="str">
        <f t="shared" si="3"/>
        <v>6'b010110: begin t_symb.A = +1;  t_symb.B = -2; t_symb.C = -1; t_symb.D = 0; end</v>
      </c>
    </row>
    <row r="27" spans="1:23" x14ac:dyDescent="0.25">
      <c r="A27" s="1" t="s">
        <v>30</v>
      </c>
      <c r="B27" s="1" t="str" cm="1">
        <f t="array" ref="B27:S27">_xlfn.TEXTSPLIT(TRIM(A27), {" ",",",", "})</f>
        <v>Normal</v>
      </c>
      <c r="C27" s="1" t="str">
        <v>010111</v>
      </c>
      <c r="D27" s="1" t="str">
        <v>-1</v>
      </c>
      <c r="E27" s="1" t="str">
        <v>-1</v>
      </c>
      <c r="F27" s="1" t="str">
        <v>-1</v>
      </c>
      <c r="G27" s="1" t="str">
        <v>+1</v>
      </c>
      <c r="H27" s="1" t="str">
        <v>-1</v>
      </c>
      <c r="I27" s="1" t="str">
        <v>-1</v>
      </c>
      <c r="J27" s="1" t="str">
        <v>-2</v>
      </c>
      <c r="K27" s="1" t="str">
        <v>0</v>
      </c>
      <c r="L27" s="1" t="str">
        <v>-1</v>
      </c>
      <c r="M27" s="1" t="str">
        <v>-2</v>
      </c>
      <c r="N27" s="1" t="str">
        <v>-2</v>
      </c>
      <c r="O27" s="1" t="str">
        <v>+1</v>
      </c>
      <c r="P27" s="1" t="str">
        <v>-1</v>
      </c>
      <c r="Q27" s="1" t="str">
        <v>-2</v>
      </c>
      <c r="R27" s="1" t="str">
        <v>-1</v>
      </c>
      <c r="S27" s="1" t="str">
        <v>0</v>
      </c>
      <c r="T27" s="2" t="str">
        <f t="shared" si="0"/>
        <v>6'b010111: begin t_symb.A = -1;  t_symb.B = -1; t_symb.C = -1; t_symb.D = +1; end</v>
      </c>
      <c r="U27" s="2" t="str">
        <f t="shared" si="1"/>
        <v>6'b010111: begin t_symb.A = -1;  t_symb.B = -1; t_symb.C = -2; t_symb.D = 0; end</v>
      </c>
      <c r="V27" s="2" t="str">
        <f t="shared" si="2"/>
        <v>6'b010111: begin t_symb.A = -1;  t_symb.B = -2; t_symb.C = -2; t_symb.D = +1; end</v>
      </c>
      <c r="W27" s="2" t="str">
        <f t="shared" si="3"/>
        <v>6'b010111: begin t_symb.A = -1;  t_symb.B = -2; t_symb.C = -1; t_symb.D = 0; end</v>
      </c>
    </row>
    <row r="28" spans="1:23" x14ac:dyDescent="0.25">
      <c r="A28" s="1" t="s">
        <v>31</v>
      </c>
      <c r="B28" s="1" t="str" cm="1">
        <f t="array" ref="B28:S28">_xlfn.TEXTSPLIT(TRIM(A28), {" ",",",", "})</f>
        <v>Normal</v>
      </c>
      <c r="C28" s="1" t="str">
        <v>011000</v>
      </c>
      <c r="D28" s="1" t="str">
        <v>+1</v>
      </c>
      <c r="E28" s="1" t="str">
        <v>+1</v>
      </c>
      <c r="F28" s="1" t="str">
        <v>+1</v>
      </c>
      <c r="G28" s="1" t="str">
        <v>-1</v>
      </c>
      <c r="H28" s="1" t="str">
        <v>+1</v>
      </c>
      <c r="I28" s="1" t="str">
        <v>+1</v>
      </c>
      <c r="J28" s="1" t="str">
        <v>0</v>
      </c>
      <c r="K28" s="1" t="str">
        <v>-2</v>
      </c>
      <c r="L28" s="1" t="str">
        <v>+1</v>
      </c>
      <c r="M28" s="1" t="str">
        <v>0</v>
      </c>
      <c r="N28" s="1" t="str">
        <v>0</v>
      </c>
      <c r="O28" s="1" t="str">
        <v>-1</v>
      </c>
      <c r="P28" s="1" t="str">
        <v>+1</v>
      </c>
      <c r="Q28" s="1" t="str">
        <v>0</v>
      </c>
      <c r="R28" s="1" t="str">
        <v>+1</v>
      </c>
      <c r="S28" s="1" t="str">
        <v>-2</v>
      </c>
      <c r="T28" s="2" t="str">
        <f t="shared" si="0"/>
        <v>6'b011000: begin t_symb.A = +1;  t_symb.B = +1; t_symb.C = +1; t_symb.D = -1; end</v>
      </c>
      <c r="U28" s="2" t="str">
        <f t="shared" si="1"/>
        <v>6'b011000: begin t_symb.A = +1;  t_symb.B = +1; t_symb.C = 0; t_symb.D = -2; end</v>
      </c>
      <c r="V28" s="2" t="str">
        <f t="shared" si="2"/>
        <v>6'b011000: begin t_symb.A = +1;  t_symb.B = 0; t_symb.C = 0; t_symb.D = -1; end</v>
      </c>
      <c r="W28" s="2" t="str">
        <f t="shared" si="3"/>
        <v>6'b011000: begin t_symb.A = +1;  t_symb.B = 0; t_symb.C = +1; t_symb.D = -2; end</v>
      </c>
    </row>
    <row r="29" spans="1:23" x14ac:dyDescent="0.25">
      <c r="A29" s="1" t="s">
        <v>32</v>
      </c>
      <c r="B29" s="1" t="str" cm="1">
        <f t="array" ref="B29:S29">_xlfn.TEXTSPLIT(TRIM(A29), {" ",",",", "})</f>
        <v>Normal</v>
      </c>
      <c r="C29" s="1" t="str">
        <v>011001</v>
      </c>
      <c r="D29" s="1" t="str">
        <v>-1</v>
      </c>
      <c r="E29" s="1" t="str">
        <v>+1</v>
      </c>
      <c r="F29" s="1" t="str">
        <v>+1</v>
      </c>
      <c r="G29" s="1" t="str">
        <v>-1</v>
      </c>
      <c r="H29" s="1" t="str">
        <v>-1</v>
      </c>
      <c r="I29" s="1" t="str">
        <v>+1</v>
      </c>
      <c r="J29" s="1" t="str">
        <v>0</v>
      </c>
      <c r="K29" s="1" t="str">
        <v>-2</v>
      </c>
      <c r="L29" s="1" t="str">
        <v>-1</v>
      </c>
      <c r="M29" s="1" t="str">
        <v>0</v>
      </c>
      <c r="N29" s="1" t="str">
        <v>0</v>
      </c>
      <c r="O29" s="1" t="str">
        <v>-1</v>
      </c>
      <c r="P29" s="1" t="str">
        <v>-1</v>
      </c>
      <c r="Q29" s="1" t="str">
        <v>0</v>
      </c>
      <c r="R29" s="1" t="str">
        <v>+1</v>
      </c>
      <c r="S29" s="1" t="str">
        <v>-2</v>
      </c>
      <c r="T29" s="2" t="str">
        <f t="shared" si="0"/>
        <v>6'b011001: begin t_symb.A = -1;  t_symb.B = +1; t_symb.C = +1; t_symb.D = -1; end</v>
      </c>
      <c r="U29" s="2" t="str">
        <f t="shared" si="1"/>
        <v>6'b011001: begin t_symb.A = -1;  t_symb.B = +1; t_symb.C = 0; t_symb.D = -2; end</v>
      </c>
      <c r="V29" s="2" t="str">
        <f t="shared" si="2"/>
        <v>6'b011001: begin t_symb.A = -1;  t_symb.B = 0; t_symb.C = 0; t_symb.D = -1; end</v>
      </c>
      <c r="W29" s="2" t="str">
        <f t="shared" si="3"/>
        <v>6'b011001: begin t_symb.A = -1;  t_symb.B = 0; t_symb.C = +1; t_symb.D = -2; end</v>
      </c>
    </row>
    <row r="30" spans="1:23" x14ac:dyDescent="0.25">
      <c r="A30" s="1" t="s">
        <v>33</v>
      </c>
      <c r="B30" s="1" t="str" cm="1">
        <f t="array" ref="B30:S30">_xlfn.TEXTSPLIT(TRIM(A30), {" ",",",", "})</f>
        <v>Normal</v>
      </c>
      <c r="C30" s="1" t="str">
        <v>011010</v>
      </c>
      <c r="D30" s="1" t="str">
        <v>+1</v>
      </c>
      <c r="E30" s="1" t="str">
        <v>-1</v>
      </c>
      <c r="F30" s="1" t="str">
        <v>+1</v>
      </c>
      <c r="G30" s="1" t="str">
        <v>-1</v>
      </c>
      <c r="H30" s="1" t="str">
        <v>+1</v>
      </c>
      <c r="I30" s="1" t="str">
        <v>-1</v>
      </c>
      <c r="J30" s="1" t="str">
        <v>0</v>
      </c>
      <c r="K30" s="1" t="str">
        <v>-2</v>
      </c>
      <c r="L30" s="1" t="str">
        <v>+1</v>
      </c>
      <c r="M30" s="1" t="str">
        <v>-2</v>
      </c>
      <c r="N30" s="1" t="str">
        <v>0</v>
      </c>
      <c r="O30" s="1" t="str">
        <v>-1</v>
      </c>
      <c r="P30" s="1" t="str">
        <v>+1</v>
      </c>
      <c r="Q30" s="1" t="str">
        <v>-2</v>
      </c>
      <c r="R30" s="1" t="str">
        <v>+1</v>
      </c>
      <c r="S30" s="1" t="str">
        <v>-2</v>
      </c>
      <c r="T30" s="2" t="str">
        <f t="shared" si="0"/>
        <v>6'b011010: begin t_symb.A = +1;  t_symb.B = -1; t_symb.C = +1; t_symb.D = -1; end</v>
      </c>
      <c r="U30" s="2" t="str">
        <f t="shared" si="1"/>
        <v>6'b011010: begin t_symb.A = +1;  t_symb.B = -1; t_symb.C = 0; t_symb.D = -2; end</v>
      </c>
      <c r="V30" s="2" t="str">
        <f t="shared" si="2"/>
        <v>6'b011010: begin t_symb.A = +1;  t_symb.B = -2; t_symb.C = 0; t_symb.D = -1; end</v>
      </c>
      <c r="W30" s="2" t="str">
        <f t="shared" si="3"/>
        <v>6'b011010: begin t_symb.A = +1;  t_symb.B = -2; t_symb.C = +1; t_symb.D = -2; end</v>
      </c>
    </row>
    <row r="31" spans="1:23" x14ac:dyDescent="0.25">
      <c r="A31" s="1" t="s">
        <v>34</v>
      </c>
      <c r="B31" s="1" t="str" cm="1">
        <f t="array" ref="B31:S31">_xlfn.TEXTSPLIT(TRIM(A31), {" ",",",", "})</f>
        <v>Normal</v>
      </c>
      <c r="C31" s="1" t="str">
        <v>011011</v>
      </c>
      <c r="D31" s="1" t="str">
        <v>-1</v>
      </c>
      <c r="E31" s="1" t="str">
        <v>-1</v>
      </c>
      <c r="F31" s="1" t="str">
        <v>+1</v>
      </c>
      <c r="G31" s="1" t="str">
        <v>-1</v>
      </c>
      <c r="H31" s="1" t="str">
        <v>-1</v>
      </c>
      <c r="I31" s="1" t="str">
        <v>-1</v>
      </c>
      <c r="J31" s="1" t="str">
        <v>0</v>
      </c>
      <c r="K31" s="1" t="str">
        <v>-2</v>
      </c>
      <c r="L31" s="1" t="str">
        <v>-1</v>
      </c>
      <c r="M31" s="1" t="str">
        <v>-2</v>
      </c>
      <c r="N31" s="1" t="str">
        <v>0</v>
      </c>
      <c r="O31" s="1" t="str">
        <v>-1</v>
      </c>
      <c r="P31" s="1" t="str">
        <v>-1</v>
      </c>
      <c r="Q31" s="1" t="str">
        <v>-2</v>
      </c>
      <c r="R31" s="1" t="str">
        <v>+1</v>
      </c>
      <c r="S31" s="1" t="str">
        <v>-2</v>
      </c>
      <c r="T31" s="2" t="str">
        <f t="shared" si="0"/>
        <v>6'b011011: begin t_symb.A = -1;  t_symb.B = -1; t_symb.C = +1; t_symb.D = -1; end</v>
      </c>
      <c r="U31" s="2" t="str">
        <f t="shared" si="1"/>
        <v>6'b011011: begin t_symb.A = -1;  t_symb.B = -1; t_symb.C = 0; t_symb.D = -2; end</v>
      </c>
      <c r="V31" s="2" t="str">
        <f t="shared" si="2"/>
        <v>6'b011011: begin t_symb.A = -1;  t_symb.B = -2; t_symb.C = 0; t_symb.D = -1; end</v>
      </c>
      <c r="W31" s="2" t="str">
        <f t="shared" si="3"/>
        <v>6'b011011: begin t_symb.A = -1;  t_symb.B = -2; t_symb.C = +1; t_symb.D = -2; end</v>
      </c>
    </row>
    <row r="32" spans="1:23" x14ac:dyDescent="0.25">
      <c r="A32" s="1" t="s">
        <v>35</v>
      </c>
      <c r="B32" s="1" t="str" cm="1">
        <f t="array" ref="B32:S32">_xlfn.TEXTSPLIT(TRIM(A32), {" ",",",", "})</f>
        <v>Normal</v>
      </c>
      <c r="C32" s="1" t="str">
        <v>011100</v>
      </c>
      <c r="D32" s="1" t="str">
        <v>+1</v>
      </c>
      <c r="E32" s="1" t="str">
        <v>+1</v>
      </c>
      <c r="F32" s="1" t="str">
        <v>-1</v>
      </c>
      <c r="G32" s="1" t="str">
        <v>-1</v>
      </c>
      <c r="H32" s="1" t="str">
        <v>+1</v>
      </c>
      <c r="I32" s="1" t="str">
        <v>+1</v>
      </c>
      <c r="J32" s="1" t="str">
        <v>-2</v>
      </c>
      <c r="K32" s="1" t="str">
        <v>-2</v>
      </c>
      <c r="L32" s="1" t="str">
        <v>+1</v>
      </c>
      <c r="M32" s="1" t="str">
        <v>0</v>
      </c>
      <c r="N32" s="1" t="str">
        <v>-2</v>
      </c>
      <c r="O32" s="1" t="str">
        <v>-1</v>
      </c>
      <c r="P32" s="1" t="str">
        <v>+1</v>
      </c>
      <c r="Q32" s="1" t="str">
        <v>0</v>
      </c>
      <c r="R32" s="1" t="str">
        <v>-1</v>
      </c>
      <c r="S32" s="1" t="str">
        <v>-2</v>
      </c>
      <c r="T32" s="2" t="str">
        <f t="shared" si="0"/>
        <v>6'b011100: begin t_symb.A = +1;  t_symb.B = +1; t_symb.C = -1; t_symb.D = -1; end</v>
      </c>
      <c r="U32" s="2" t="str">
        <f t="shared" si="1"/>
        <v>6'b011100: begin t_symb.A = +1;  t_symb.B = +1; t_symb.C = -2; t_symb.D = -2; end</v>
      </c>
      <c r="V32" s="2" t="str">
        <f t="shared" si="2"/>
        <v>6'b011100: begin t_symb.A = +1;  t_symb.B = 0; t_symb.C = -2; t_symb.D = -1; end</v>
      </c>
      <c r="W32" s="2" t="str">
        <f t="shared" si="3"/>
        <v>6'b011100: begin t_symb.A = +1;  t_symb.B = 0; t_symb.C = -1; t_symb.D = -2; end</v>
      </c>
    </row>
    <row r="33" spans="1:23" x14ac:dyDescent="0.25">
      <c r="A33" s="1" t="s">
        <v>36</v>
      </c>
      <c r="B33" s="1" t="str" cm="1">
        <f t="array" ref="B33:S33">_xlfn.TEXTSPLIT(TRIM(A33), {" ",",",", "})</f>
        <v>Normal</v>
      </c>
      <c r="C33" s="1" t="str">
        <v>011101</v>
      </c>
      <c r="D33" s="1" t="str">
        <v>-1</v>
      </c>
      <c r="E33" s="1" t="str">
        <v>+1</v>
      </c>
      <c r="F33" s="1" t="str">
        <v>-1</v>
      </c>
      <c r="G33" s="1" t="str">
        <v>-1</v>
      </c>
      <c r="H33" s="1" t="str">
        <v>-1</v>
      </c>
      <c r="I33" s="1" t="str">
        <v>+1</v>
      </c>
      <c r="J33" s="1" t="str">
        <v>-2</v>
      </c>
      <c r="K33" s="1" t="str">
        <v>-2</v>
      </c>
      <c r="L33" s="1" t="str">
        <v>-1</v>
      </c>
      <c r="M33" s="1" t="str">
        <v>0</v>
      </c>
      <c r="N33" s="1" t="str">
        <v>-2</v>
      </c>
      <c r="O33" s="1" t="str">
        <v>-1</v>
      </c>
      <c r="P33" s="1" t="str">
        <v>-1</v>
      </c>
      <c r="Q33" s="1" t="str">
        <v>0</v>
      </c>
      <c r="R33" s="1" t="str">
        <v>-1</v>
      </c>
      <c r="S33" s="1" t="str">
        <v>-2</v>
      </c>
      <c r="T33" s="2" t="str">
        <f t="shared" si="0"/>
        <v>6'b011101: begin t_symb.A = -1;  t_symb.B = +1; t_symb.C = -1; t_symb.D = -1; end</v>
      </c>
      <c r="U33" s="2" t="str">
        <f t="shared" si="1"/>
        <v>6'b011101: begin t_symb.A = -1;  t_symb.B = +1; t_symb.C = -2; t_symb.D = -2; end</v>
      </c>
      <c r="V33" s="2" t="str">
        <f t="shared" si="2"/>
        <v>6'b011101: begin t_symb.A = -1;  t_symb.B = 0; t_symb.C = -2; t_symb.D = -1; end</v>
      </c>
      <c r="W33" s="2" t="str">
        <f t="shared" si="3"/>
        <v>6'b011101: begin t_symb.A = -1;  t_symb.B = 0; t_symb.C = -1; t_symb.D = -2; end</v>
      </c>
    </row>
    <row r="34" spans="1:23" x14ac:dyDescent="0.25">
      <c r="A34" s="1" t="s">
        <v>37</v>
      </c>
      <c r="B34" s="1" t="str" cm="1">
        <f t="array" ref="B34:S34">_xlfn.TEXTSPLIT(TRIM(A34), {" ",",",", "})</f>
        <v>Normal</v>
      </c>
      <c r="C34" s="1" t="str">
        <v>011110</v>
      </c>
      <c r="D34" s="1" t="str">
        <v>+1</v>
      </c>
      <c r="E34" s="1" t="str">
        <v>-1</v>
      </c>
      <c r="F34" s="1" t="str">
        <v>-1</v>
      </c>
      <c r="G34" s="1" t="str">
        <v>-1</v>
      </c>
      <c r="H34" s="1" t="str">
        <v>+1</v>
      </c>
      <c r="I34" s="1" t="str">
        <v>-1</v>
      </c>
      <c r="J34" s="1" t="str">
        <v>-2</v>
      </c>
      <c r="K34" s="1" t="str">
        <v>-2</v>
      </c>
      <c r="L34" s="1" t="str">
        <v>+1</v>
      </c>
      <c r="M34" s="1" t="str">
        <v>-2</v>
      </c>
      <c r="N34" s="1" t="str">
        <v>-2</v>
      </c>
      <c r="O34" s="1" t="str">
        <v>-1</v>
      </c>
      <c r="P34" s="1" t="str">
        <v>+1</v>
      </c>
      <c r="Q34" s="1" t="str">
        <v>-2</v>
      </c>
      <c r="R34" s="1" t="str">
        <v>-1</v>
      </c>
      <c r="S34" s="1" t="str">
        <v>-2</v>
      </c>
      <c r="T34" s="2" t="str">
        <f t="shared" si="0"/>
        <v>6'b011110: begin t_symb.A = +1;  t_symb.B = -1; t_symb.C = -1; t_symb.D = -1; end</v>
      </c>
      <c r="U34" s="2" t="str">
        <f t="shared" si="1"/>
        <v>6'b011110: begin t_symb.A = +1;  t_symb.B = -1; t_symb.C = -2; t_symb.D = -2; end</v>
      </c>
      <c r="V34" s="2" t="str">
        <f t="shared" si="2"/>
        <v>6'b011110: begin t_symb.A = +1;  t_symb.B = -2; t_symb.C = -2; t_symb.D = -1; end</v>
      </c>
      <c r="W34" s="2" t="str">
        <f t="shared" si="3"/>
        <v>6'b011110: begin t_symb.A = +1;  t_symb.B = -2; t_symb.C = -1; t_symb.D = -2; end</v>
      </c>
    </row>
    <row r="35" spans="1:23" x14ac:dyDescent="0.25">
      <c r="A35" s="1" t="s">
        <v>38</v>
      </c>
      <c r="B35" s="1" t="str" cm="1">
        <f t="array" ref="B35:S35">_xlfn.TEXTSPLIT(TRIM(A35), {" ",",",", "})</f>
        <v>Normal</v>
      </c>
      <c r="C35" s="1" t="str">
        <v>011111</v>
      </c>
      <c r="D35" s="1" t="str">
        <v>-1</v>
      </c>
      <c r="E35" s="1" t="str">
        <v>-1</v>
      </c>
      <c r="F35" s="1" t="str">
        <v>-1</v>
      </c>
      <c r="G35" s="1" t="str">
        <v>-1</v>
      </c>
      <c r="H35" s="1" t="str">
        <v>-1</v>
      </c>
      <c r="I35" s="1" t="str">
        <v>-1</v>
      </c>
      <c r="J35" s="1" t="str">
        <v>-2</v>
      </c>
      <c r="K35" s="1" t="str">
        <v>-2</v>
      </c>
      <c r="L35" s="1" t="str">
        <v>-1</v>
      </c>
      <c r="M35" s="1" t="str">
        <v>-2</v>
      </c>
      <c r="N35" s="1" t="str">
        <v>-2</v>
      </c>
      <c r="O35" s="1" t="str">
        <v>-1</v>
      </c>
      <c r="P35" s="1" t="str">
        <v>-1</v>
      </c>
      <c r="Q35" s="1" t="str">
        <v>-2</v>
      </c>
      <c r="R35" s="1" t="str">
        <v>-1</v>
      </c>
      <c r="S35" s="1" t="str">
        <v>-2</v>
      </c>
      <c r="T35" s="2" t="str">
        <f t="shared" si="0"/>
        <v>6'b011111: begin t_symb.A = -1;  t_symb.B = -1; t_symb.C = -1; t_symb.D = -1; end</v>
      </c>
      <c r="U35" s="2" t="str">
        <f t="shared" si="1"/>
        <v>6'b011111: begin t_symb.A = -1;  t_symb.B = -1; t_symb.C = -2; t_symb.D = -2; end</v>
      </c>
      <c r="V35" s="2" t="str">
        <f t="shared" si="2"/>
        <v>6'b011111: begin t_symb.A = -1;  t_symb.B = -2; t_symb.C = -2; t_symb.D = -1; end</v>
      </c>
      <c r="W35" s="2" t="str">
        <f t="shared" si="3"/>
        <v>6'b011111: begin t_symb.A = -1;  t_symb.B = -2; t_symb.C = -1; t_symb.D = -2; end</v>
      </c>
    </row>
    <row r="36" spans="1:23" x14ac:dyDescent="0.25">
      <c r="A36" s="1" t="s">
        <v>39</v>
      </c>
      <c r="B36" s="1" t="str" cm="1">
        <f t="array" ref="B36:S36">_xlfn.TEXTSPLIT(TRIM(A36), {" ",",",", "})</f>
        <v>Normal</v>
      </c>
      <c r="C36" s="1" t="str">
        <v>100000</v>
      </c>
      <c r="D36" s="1" t="str">
        <v>+2</v>
      </c>
      <c r="E36" s="1" t="str">
        <v>0</v>
      </c>
      <c r="F36" s="1" t="str">
        <v>0</v>
      </c>
      <c r="G36" s="1" t="str">
        <v>0</v>
      </c>
      <c r="H36" s="1" t="str">
        <v>+2</v>
      </c>
      <c r="I36" s="1" t="str">
        <v>0</v>
      </c>
      <c r="J36" s="1" t="str">
        <v>+1</v>
      </c>
      <c r="K36" s="1" t="str">
        <v>+1</v>
      </c>
      <c r="L36" s="1" t="str">
        <v>+2</v>
      </c>
      <c r="M36" s="1" t="str">
        <v>+1</v>
      </c>
      <c r="N36" s="1" t="str">
        <v>+1</v>
      </c>
      <c r="O36" s="1" t="str">
        <v>0</v>
      </c>
      <c r="P36" s="1" t="str">
        <v>+2</v>
      </c>
      <c r="Q36" s="1" t="str">
        <v>+1</v>
      </c>
      <c r="R36" s="1" t="str">
        <v>0</v>
      </c>
      <c r="S36" s="1" t="str">
        <v>+1</v>
      </c>
      <c r="T36" s="2" t="str">
        <f t="shared" si="0"/>
        <v>6'b100000: begin t_symb.A = +2;  t_symb.B = 0; t_symb.C = 0; t_symb.D = 0; end</v>
      </c>
      <c r="U36" s="2" t="str">
        <f t="shared" si="1"/>
        <v>6'b100000: begin t_symb.A = +2;  t_symb.B = 0; t_symb.C = +1; t_symb.D = +1; end</v>
      </c>
      <c r="V36" s="2" t="str">
        <f t="shared" si="2"/>
        <v>6'b100000: begin t_symb.A = +2;  t_symb.B = +1; t_symb.C = +1; t_symb.D = 0; end</v>
      </c>
      <c r="W36" s="2" t="str">
        <f t="shared" si="3"/>
        <v>6'b100000: begin t_symb.A = +2;  t_symb.B = +1; t_symb.C = 0; t_symb.D = +1; end</v>
      </c>
    </row>
    <row r="37" spans="1:23" x14ac:dyDescent="0.25">
      <c r="A37" s="1" t="s">
        <v>40</v>
      </c>
      <c r="B37" s="1" t="str" cm="1">
        <f t="array" ref="B37:S37">_xlfn.TEXTSPLIT(TRIM(A37), {" ",",",", "})</f>
        <v>Normal</v>
      </c>
      <c r="C37" s="1" t="str">
        <v>100001</v>
      </c>
      <c r="D37" s="1" t="str">
        <v>+2</v>
      </c>
      <c r="E37" s="1" t="str">
        <v>-2</v>
      </c>
      <c r="F37" s="1" t="str">
        <v>0</v>
      </c>
      <c r="G37" s="1" t="str">
        <v>0</v>
      </c>
      <c r="H37" s="1" t="str">
        <v>+2</v>
      </c>
      <c r="I37" s="1" t="str">
        <v>-2</v>
      </c>
      <c r="J37" s="1" t="str">
        <v>+1</v>
      </c>
      <c r="K37" s="1" t="str">
        <v>+1</v>
      </c>
      <c r="L37" s="1" t="str">
        <v>+2</v>
      </c>
      <c r="M37" s="1" t="str">
        <v>-1</v>
      </c>
      <c r="N37" s="1" t="str">
        <v>+1</v>
      </c>
      <c r="O37" s="1" t="str">
        <v>0</v>
      </c>
      <c r="P37" s="1" t="str">
        <v>+2</v>
      </c>
      <c r="Q37" s="1" t="str">
        <v>-1</v>
      </c>
      <c r="R37" s="1" t="str">
        <v>0</v>
      </c>
      <c r="S37" s="1" t="str">
        <v>+1</v>
      </c>
      <c r="T37" s="2" t="str">
        <f t="shared" si="0"/>
        <v>6'b100001: begin t_symb.A = +2;  t_symb.B = -2; t_symb.C = 0; t_symb.D = 0; end</v>
      </c>
      <c r="U37" s="2" t="str">
        <f t="shared" si="1"/>
        <v>6'b100001: begin t_symb.A = +2;  t_symb.B = -2; t_symb.C = +1; t_symb.D = +1; end</v>
      </c>
      <c r="V37" s="2" t="str">
        <f t="shared" si="2"/>
        <v>6'b100001: begin t_symb.A = +2;  t_symb.B = -1; t_symb.C = +1; t_symb.D = 0; end</v>
      </c>
      <c r="W37" s="2" t="str">
        <f t="shared" si="3"/>
        <v>6'b100001: begin t_symb.A = +2;  t_symb.B = -1; t_symb.C = 0; t_symb.D = +1; end</v>
      </c>
    </row>
    <row r="38" spans="1:23" x14ac:dyDescent="0.25">
      <c r="A38" s="1" t="s">
        <v>41</v>
      </c>
      <c r="B38" s="1" t="str" cm="1">
        <f t="array" ref="B38:S38">_xlfn.TEXTSPLIT(TRIM(A38), {" ",",",", "})</f>
        <v>Normal</v>
      </c>
      <c r="C38" s="1" t="str">
        <v>100010</v>
      </c>
      <c r="D38" s="1" t="str">
        <v>+2</v>
      </c>
      <c r="E38" s="1" t="str">
        <v>0</v>
      </c>
      <c r="F38" s="1" t="str">
        <v>-2</v>
      </c>
      <c r="G38" s="1" t="str">
        <v>0</v>
      </c>
      <c r="H38" s="1" t="str">
        <v>+2</v>
      </c>
      <c r="I38" s="1" t="str">
        <v>0</v>
      </c>
      <c r="J38" s="1" t="str">
        <v>-1</v>
      </c>
      <c r="K38" s="1" t="str">
        <v>+1</v>
      </c>
      <c r="L38" s="1" t="str">
        <v>+2</v>
      </c>
      <c r="M38" s="1" t="str">
        <v>+1</v>
      </c>
      <c r="N38" s="1" t="str">
        <v>-1</v>
      </c>
      <c r="O38" s="1" t="str">
        <v>0</v>
      </c>
      <c r="P38" s="1" t="str">
        <v>+2</v>
      </c>
      <c r="Q38" s="1" t="str">
        <v>+1</v>
      </c>
      <c r="R38" s="1" t="str">
        <v>-2</v>
      </c>
      <c r="S38" s="1" t="str">
        <v>+1</v>
      </c>
      <c r="T38" s="2" t="str">
        <f t="shared" si="0"/>
        <v>6'b100010: begin t_symb.A = +2;  t_symb.B = 0; t_symb.C = -2; t_symb.D = 0; end</v>
      </c>
      <c r="U38" s="2" t="str">
        <f t="shared" si="1"/>
        <v>6'b100010: begin t_symb.A = +2;  t_symb.B = 0; t_symb.C = -1; t_symb.D = +1; end</v>
      </c>
      <c r="V38" s="2" t="str">
        <f t="shared" si="2"/>
        <v>6'b100010: begin t_symb.A = +2;  t_symb.B = +1; t_symb.C = -1; t_symb.D = 0; end</v>
      </c>
      <c r="W38" s="2" t="str">
        <f t="shared" si="3"/>
        <v>6'b100010: begin t_symb.A = +2;  t_symb.B = +1; t_symb.C = -2; t_symb.D = +1; end</v>
      </c>
    </row>
    <row r="39" spans="1:23" x14ac:dyDescent="0.25">
      <c r="A39" s="1" t="s">
        <v>42</v>
      </c>
      <c r="B39" s="1" t="str" cm="1">
        <f t="array" ref="B39:S39">_xlfn.TEXTSPLIT(TRIM(A39), {" ",",",", "})</f>
        <v>Normal</v>
      </c>
      <c r="C39" s="1" t="str">
        <v>100011</v>
      </c>
      <c r="D39" s="1" t="str">
        <v>+2</v>
      </c>
      <c r="E39" s="1" t="str">
        <v>-2</v>
      </c>
      <c r="F39" s="1" t="str">
        <v>-2</v>
      </c>
      <c r="G39" s="1" t="str">
        <v>0</v>
      </c>
      <c r="H39" s="1" t="str">
        <v>+2</v>
      </c>
      <c r="I39" s="1" t="str">
        <v>-2</v>
      </c>
      <c r="J39" s="1" t="str">
        <v>-1</v>
      </c>
      <c r="K39" s="1" t="str">
        <v>+1</v>
      </c>
      <c r="L39" s="1" t="str">
        <v>+2</v>
      </c>
      <c r="M39" s="1" t="str">
        <v>-1</v>
      </c>
      <c r="N39" s="1" t="str">
        <v>-1</v>
      </c>
      <c r="O39" s="1" t="str">
        <v>0</v>
      </c>
      <c r="P39" s="1" t="str">
        <v>+2</v>
      </c>
      <c r="Q39" s="1" t="str">
        <v>-1</v>
      </c>
      <c r="R39" s="1" t="str">
        <v>-2</v>
      </c>
      <c r="S39" s="1" t="str">
        <v>+1</v>
      </c>
      <c r="T39" s="2" t="str">
        <f t="shared" si="0"/>
        <v>6'b100011: begin t_symb.A = +2;  t_symb.B = -2; t_symb.C = -2; t_symb.D = 0; end</v>
      </c>
      <c r="U39" s="2" t="str">
        <f t="shared" si="1"/>
        <v>6'b100011: begin t_symb.A = +2;  t_symb.B = -2; t_symb.C = -1; t_symb.D = +1; end</v>
      </c>
      <c r="V39" s="2" t="str">
        <f t="shared" si="2"/>
        <v>6'b100011: begin t_symb.A = +2;  t_symb.B = -1; t_symb.C = -1; t_symb.D = 0; end</v>
      </c>
      <c r="W39" s="2" t="str">
        <f t="shared" si="3"/>
        <v>6'b100011: begin t_symb.A = +2;  t_symb.B = -1; t_symb.C = -2; t_symb.D = +1; end</v>
      </c>
    </row>
    <row r="40" spans="1:23" x14ac:dyDescent="0.25">
      <c r="A40" s="1" t="s">
        <v>43</v>
      </c>
      <c r="B40" s="1" t="str" cm="1">
        <f t="array" ref="B40:S40">_xlfn.TEXTSPLIT(TRIM(A40), {" ",",",", "})</f>
        <v>Normal</v>
      </c>
      <c r="C40" s="1" t="str">
        <v>100100</v>
      </c>
      <c r="D40" s="1" t="str">
        <v>+2</v>
      </c>
      <c r="E40" s="1" t="str">
        <v>0</v>
      </c>
      <c r="F40" s="1" t="str">
        <v>0</v>
      </c>
      <c r="G40" s="1" t="str">
        <v>-2</v>
      </c>
      <c r="H40" s="1" t="str">
        <v>+2</v>
      </c>
      <c r="I40" s="1" t="str">
        <v>0</v>
      </c>
      <c r="J40" s="1" t="str">
        <v>+1</v>
      </c>
      <c r="K40" s="1" t="str">
        <v>-1</v>
      </c>
      <c r="L40" s="1" t="str">
        <v>+2</v>
      </c>
      <c r="M40" s="1" t="str">
        <v>+1</v>
      </c>
      <c r="N40" s="1" t="str">
        <v>+1</v>
      </c>
      <c r="O40" s="1" t="str">
        <v>-2</v>
      </c>
      <c r="P40" s="1" t="str">
        <v>+2</v>
      </c>
      <c r="Q40" s="1" t="str">
        <v>+1</v>
      </c>
      <c r="R40" s="1" t="str">
        <v>0</v>
      </c>
      <c r="S40" s="1" t="str">
        <v>-1</v>
      </c>
      <c r="T40" s="2" t="str">
        <f t="shared" si="0"/>
        <v>6'b100100: begin t_symb.A = +2;  t_symb.B = 0; t_symb.C = 0; t_symb.D = -2; end</v>
      </c>
      <c r="U40" s="2" t="str">
        <f t="shared" si="1"/>
        <v>6'b100100: begin t_symb.A = +2;  t_symb.B = 0; t_symb.C = +1; t_symb.D = -1; end</v>
      </c>
      <c r="V40" s="2" t="str">
        <f t="shared" si="2"/>
        <v>6'b100100: begin t_symb.A = +2;  t_symb.B = +1; t_symb.C = +1; t_symb.D = -2; end</v>
      </c>
      <c r="W40" s="2" t="str">
        <f t="shared" si="3"/>
        <v>6'b100100: begin t_symb.A = +2;  t_symb.B = +1; t_symb.C = 0; t_symb.D = -1; end</v>
      </c>
    </row>
    <row r="41" spans="1:23" x14ac:dyDescent="0.25">
      <c r="A41" s="1" t="s">
        <v>44</v>
      </c>
      <c r="B41" s="1" t="str" cm="1">
        <f t="array" ref="B41:S41">_xlfn.TEXTSPLIT(TRIM(A41), {" ",",",", "})</f>
        <v>Normal</v>
      </c>
      <c r="C41" s="1" t="str">
        <v>100101</v>
      </c>
      <c r="D41" s="1" t="str">
        <v>+2</v>
      </c>
      <c r="E41" s="1" t="str">
        <v>-2</v>
      </c>
      <c r="F41" s="1" t="str">
        <v>0</v>
      </c>
      <c r="G41" s="1" t="str">
        <v>-2</v>
      </c>
      <c r="H41" s="1" t="str">
        <v>+2</v>
      </c>
      <c r="I41" s="1" t="str">
        <v>-2</v>
      </c>
      <c r="J41" s="1" t="str">
        <v>+1</v>
      </c>
      <c r="K41" s="1" t="str">
        <v>-1</v>
      </c>
      <c r="L41" s="1" t="str">
        <v>+2</v>
      </c>
      <c r="M41" s="1" t="str">
        <v>-1</v>
      </c>
      <c r="N41" s="1" t="str">
        <v>+1</v>
      </c>
      <c r="O41" s="1" t="str">
        <v>-2</v>
      </c>
      <c r="P41" s="1" t="str">
        <v>+2</v>
      </c>
      <c r="Q41" s="1" t="str">
        <v>-1</v>
      </c>
      <c r="R41" s="1" t="str">
        <v>0</v>
      </c>
      <c r="S41" s="1" t="str">
        <v>-1</v>
      </c>
      <c r="T41" s="2" t="str">
        <f t="shared" si="0"/>
        <v>6'b100101: begin t_symb.A = +2;  t_symb.B = -2; t_symb.C = 0; t_symb.D = -2; end</v>
      </c>
      <c r="U41" s="2" t="str">
        <f t="shared" si="1"/>
        <v>6'b100101: begin t_symb.A = +2;  t_symb.B = -2; t_symb.C = +1; t_symb.D = -1; end</v>
      </c>
      <c r="V41" s="2" t="str">
        <f t="shared" si="2"/>
        <v>6'b100101: begin t_symb.A = +2;  t_symb.B = -1; t_symb.C = +1; t_symb.D = -2; end</v>
      </c>
      <c r="W41" s="2" t="str">
        <f t="shared" si="3"/>
        <v>6'b100101: begin t_symb.A = +2;  t_symb.B = -1; t_symb.C = 0; t_symb.D = -1; end</v>
      </c>
    </row>
    <row r="42" spans="1:23" x14ac:dyDescent="0.25">
      <c r="A42" s="1" t="s">
        <v>45</v>
      </c>
      <c r="B42" s="1" t="str" cm="1">
        <f t="array" ref="B42:S42">_xlfn.TEXTSPLIT(TRIM(A42), {" ",",",", "})</f>
        <v>Normal</v>
      </c>
      <c r="C42" s="1" t="str">
        <v>100110</v>
      </c>
      <c r="D42" s="1" t="str">
        <v>+2</v>
      </c>
      <c r="E42" s="1" t="str">
        <v>0</v>
      </c>
      <c r="F42" s="1" t="str">
        <v>-2</v>
      </c>
      <c r="G42" s="1" t="str">
        <v>-2</v>
      </c>
      <c r="H42" s="1" t="str">
        <v>+2</v>
      </c>
      <c r="I42" s="1" t="str">
        <v>0</v>
      </c>
      <c r="J42" s="1" t="str">
        <v>-1</v>
      </c>
      <c r="K42" s="1" t="str">
        <v>-1</v>
      </c>
      <c r="L42" s="1" t="str">
        <v>+2</v>
      </c>
      <c r="M42" s="1" t="str">
        <v>+1</v>
      </c>
      <c r="N42" s="1" t="str">
        <v>-1</v>
      </c>
      <c r="O42" s="1" t="str">
        <v>-2</v>
      </c>
      <c r="P42" s="1" t="str">
        <v>+2</v>
      </c>
      <c r="Q42" s="1" t="str">
        <v>+1</v>
      </c>
      <c r="R42" s="1" t="str">
        <v>-2</v>
      </c>
      <c r="S42" s="1" t="str">
        <v>-1</v>
      </c>
      <c r="T42" s="2" t="str">
        <f t="shared" si="0"/>
        <v>6'b100110: begin t_symb.A = +2;  t_symb.B = 0; t_symb.C = -2; t_symb.D = -2; end</v>
      </c>
      <c r="U42" s="2" t="str">
        <f t="shared" si="1"/>
        <v>6'b100110: begin t_symb.A = +2;  t_symb.B = 0; t_symb.C = -1; t_symb.D = -1; end</v>
      </c>
      <c r="V42" s="2" t="str">
        <f t="shared" si="2"/>
        <v>6'b100110: begin t_symb.A = +2;  t_symb.B = +1; t_symb.C = -1; t_symb.D = -2; end</v>
      </c>
      <c r="W42" s="2" t="str">
        <f t="shared" si="3"/>
        <v>6'b100110: begin t_symb.A = +2;  t_symb.B = +1; t_symb.C = -2; t_symb.D = -1; end</v>
      </c>
    </row>
    <row r="43" spans="1:23" x14ac:dyDescent="0.25">
      <c r="A43" s="1" t="s">
        <v>46</v>
      </c>
      <c r="B43" s="1" t="str" cm="1">
        <f t="array" ref="B43:S43">_xlfn.TEXTSPLIT(TRIM(A43), {" ",",",", "})</f>
        <v>Normal</v>
      </c>
      <c r="C43" s="1" t="str">
        <v>100111</v>
      </c>
      <c r="D43" s="1" t="str">
        <v>+2</v>
      </c>
      <c r="E43" s="1" t="str">
        <v>-2</v>
      </c>
      <c r="F43" s="1" t="str">
        <v>-2</v>
      </c>
      <c r="G43" s="1" t="str">
        <v>-2</v>
      </c>
      <c r="H43" s="1" t="str">
        <v>+2</v>
      </c>
      <c r="I43" s="1" t="str">
        <v>-2</v>
      </c>
      <c r="J43" s="1" t="str">
        <v>-1</v>
      </c>
      <c r="K43" s="1" t="str">
        <v>-1</v>
      </c>
      <c r="L43" s="1" t="str">
        <v>+2</v>
      </c>
      <c r="M43" s="1" t="str">
        <v>-1</v>
      </c>
      <c r="N43" s="1" t="str">
        <v>-1</v>
      </c>
      <c r="O43" s="1" t="str">
        <v>-2</v>
      </c>
      <c r="P43" s="1" t="str">
        <v>+2</v>
      </c>
      <c r="Q43" s="1" t="str">
        <v>-1</v>
      </c>
      <c r="R43" s="1" t="str">
        <v>-2</v>
      </c>
      <c r="S43" s="1" t="str">
        <v>-1</v>
      </c>
      <c r="T43" s="2" t="str">
        <f t="shared" si="0"/>
        <v>6'b100111: begin t_symb.A = +2;  t_symb.B = -2; t_symb.C = -2; t_symb.D = -2; end</v>
      </c>
      <c r="U43" s="2" t="str">
        <f t="shared" si="1"/>
        <v>6'b100111: begin t_symb.A = +2;  t_symb.B = -2; t_symb.C = -1; t_symb.D = -1; end</v>
      </c>
      <c r="V43" s="2" t="str">
        <f t="shared" si="2"/>
        <v>6'b100111: begin t_symb.A = +2;  t_symb.B = -1; t_symb.C = -1; t_symb.D = -2; end</v>
      </c>
      <c r="W43" s="2" t="str">
        <f t="shared" si="3"/>
        <v>6'b100111: begin t_symb.A = +2;  t_symb.B = -1; t_symb.C = -2; t_symb.D = -1; end</v>
      </c>
    </row>
    <row r="44" spans="1:23" x14ac:dyDescent="0.25">
      <c r="A44" s="1" t="s">
        <v>47</v>
      </c>
      <c r="B44" s="1" t="str" cm="1">
        <f t="array" ref="B44:S44">_xlfn.TEXTSPLIT(TRIM(A44), {" ",",",", "})</f>
        <v>Normal</v>
      </c>
      <c r="C44" s="1" t="str">
        <v>101000</v>
      </c>
      <c r="D44" s="1" t="str">
        <v>0</v>
      </c>
      <c r="E44" s="1" t="str">
        <v>0</v>
      </c>
      <c r="F44" s="1" t="str">
        <v>+2</v>
      </c>
      <c r="G44" s="1" t="str">
        <v>0</v>
      </c>
      <c r="H44" s="1" t="str">
        <v>+1</v>
      </c>
      <c r="I44" s="1" t="str">
        <v>+1</v>
      </c>
      <c r="J44" s="1" t="str">
        <v>+2</v>
      </c>
      <c r="K44" s="1" t="str">
        <v>0</v>
      </c>
      <c r="L44" s="1" t="str">
        <v>+1</v>
      </c>
      <c r="M44" s="1" t="str">
        <v>0</v>
      </c>
      <c r="N44" s="1" t="str">
        <v>+2</v>
      </c>
      <c r="O44" s="1" t="str">
        <v>+1</v>
      </c>
      <c r="P44" s="1" t="str">
        <v>0</v>
      </c>
      <c r="Q44" s="1" t="str">
        <v>+1</v>
      </c>
      <c r="R44" s="1" t="str">
        <v>+2</v>
      </c>
      <c r="S44" s="1" t="str">
        <v>+1</v>
      </c>
      <c r="T44" s="2" t="str">
        <f t="shared" si="0"/>
        <v>6'b101000: begin t_symb.A = 0;  t_symb.B = 0; t_symb.C = +2; t_symb.D = 0; end</v>
      </c>
      <c r="U44" s="2" t="str">
        <f t="shared" si="1"/>
        <v>6'b101000: begin t_symb.A = +1;  t_symb.B = +1; t_symb.C = +2; t_symb.D = 0; end</v>
      </c>
      <c r="V44" s="2" t="str">
        <f t="shared" si="2"/>
        <v>6'b101000: begin t_symb.A = +1;  t_symb.B = 0; t_symb.C = +2; t_symb.D = +1; end</v>
      </c>
      <c r="W44" s="2" t="str">
        <f t="shared" si="3"/>
        <v>6'b101000: begin t_symb.A = 0;  t_symb.B = +1; t_symb.C = +2; t_symb.D = +1; end</v>
      </c>
    </row>
    <row r="45" spans="1:23" x14ac:dyDescent="0.25">
      <c r="A45" s="1" t="s">
        <v>48</v>
      </c>
      <c r="B45" s="1" t="str" cm="1">
        <f t="array" ref="B45:S45">_xlfn.TEXTSPLIT(TRIM(A45), {" ",",",", "})</f>
        <v>Normal</v>
      </c>
      <c r="C45" s="1" t="str">
        <v>101001</v>
      </c>
      <c r="D45" s="1" t="str">
        <v>-2</v>
      </c>
      <c r="E45" s="1" t="str">
        <v>0</v>
      </c>
      <c r="F45" s="1" t="str">
        <v>+2</v>
      </c>
      <c r="G45" s="1" t="str">
        <v>0</v>
      </c>
      <c r="H45" s="1" t="str">
        <v>-1</v>
      </c>
      <c r="I45" s="1" t="str">
        <v>+1</v>
      </c>
      <c r="J45" s="1" t="str">
        <v>+2</v>
      </c>
      <c r="K45" s="1" t="str">
        <v>0</v>
      </c>
      <c r="L45" s="1" t="str">
        <v>-1</v>
      </c>
      <c r="M45" s="1" t="str">
        <v>0</v>
      </c>
      <c r="N45" s="1" t="str">
        <v>+2</v>
      </c>
      <c r="O45" s="1" t="str">
        <v>+1</v>
      </c>
      <c r="P45" s="1" t="str">
        <v>-2</v>
      </c>
      <c r="Q45" s="1" t="str">
        <v>+1</v>
      </c>
      <c r="R45" s="1" t="str">
        <v>+2</v>
      </c>
      <c r="S45" s="1" t="str">
        <v>+1</v>
      </c>
      <c r="T45" s="2" t="str">
        <f t="shared" si="0"/>
        <v>6'b101001: begin t_symb.A = -2;  t_symb.B = 0; t_symb.C = +2; t_symb.D = 0; end</v>
      </c>
      <c r="U45" s="2" t="str">
        <f t="shared" si="1"/>
        <v>6'b101001: begin t_symb.A = -1;  t_symb.B = +1; t_symb.C = +2; t_symb.D = 0; end</v>
      </c>
      <c r="V45" s="2" t="str">
        <f t="shared" si="2"/>
        <v>6'b101001: begin t_symb.A = -1;  t_symb.B = 0; t_symb.C = +2; t_symb.D = +1; end</v>
      </c>
      <c r="W45" s="2" t="str">
        <f t="shared" si="3"/>
        <v>6'b101001: begin t_symb.A = -2;  t_symb.B = +1; t_symb.C = +2; t_symb.D = +1; end</v>
      </c>
    </row>
    <row r="46" spans="1:23" x14ac:dyDescent="0.25">
      <c r="A46" s="1" t="s">
        <v>49</v>
      </c>
      <c r="B46" s="1" t="str" cm="1">
        <f t="array" ref="B46:S46">_xlfn.TEXTSPLIT(TRIM(A46), {" ",",",", "})</f>
        <v>Normal</v>
      </c>
      <c r="C46" s="1" t="str">
        <v>101010</v>
      </c>
      <c r="D46" s="1" t="str">
        <v>0</v>
      </c>
      <c r="E46" s="1" t="str">
        <v>-2</v>
      </c>
      <c r="F46" s="1" t="str">
        <v>+2</v>
      </c>
      <c r="G46" s="1" t="str">
        <v>0</v>
      </c>
      <c r="H46" s="1" t="str">
        <v>+1</v>
      </c>
      <c r="I46" s="1" t="str">
        <v>-1</v>
      </c>
      <c r="J46" s="1" t="str">
        <v>+2</v>
      </c>
      <c r="K46" s="1" t="str">
        <v>0</v>
      </c>
      <c r="L46" s="1" t="str">
        <v>+1</v>
      </c>
      <c r="M46" s="1" t="str">
        <v>-2</v>
      </c>
      <c r="N46" s="1" t="str">
        <v>+2</v>
      </c>
      <c r="O46" s="1" t="str">
        <v>+1</v>
      </c>
      <c r="P46" s="1" t="str">
        <v>0</v>
      </c>
      <c r="Q46" s="1" t="str">
        <v>-1</v>
      </c>
      <c r="R46" s="1" t="str">
        <v>+2</v>
      </c>
      <c r="S46" s="1" t="str">
        <v>+1</v>
      </c>
      <c r="T46" s="2" t="str">
        <f t="shared" si="0"/>
        <v>6'b101010: begin t_symb.A = 0;  t_symb.B = -2; t_symb.C = +2; t_symb.D = 0; end</v>
      </c>
      <c r="U46" s="2" t="str">
        <f t="shared" si="1"/>
        <v>6'b101010: begin t_symb.A = +1;  t_symb.B = -1; t_symb.C = +2; t_symb.D = 0; end</v>
      </c>
      <c r="V46" s="2" t="str">
        <f t="shared" si="2"/>
        <v>6'b101010: begin t_symb.A = +1;  t_symb.B = -2; t_symb.C = +2; t_symb.D = +1; end</v>
      </c>
      <c r="W46" s="2" t="str">
        <f t="shared" si="3"/>
        <v>6'b101010: begin t_symb.A = 0;  t_symb.B = -1; t_symb.C = +2; t_symb.D = +1; end</v>
      </c>
    </row>
    <row r="47" spans="1:23" x14ac:dyDescent="0.25">
      <c r="A47" s="1" t="s">
        <v>50</v>
      </c>
      <c r="B47" s="1" t="str" cm="1">
        <f t="array" ref="B47:S47">_xlfn.TEXTSPLIT(TRIM(A47), {" ",",",", "})</f>
        <v>Normal</v>
      </c>
      <c r="C47" s="1" t="str">
        <v>101011</v>
      </c>
      <c r="D47" s="1" t="str">
        <v>-2</v>
      </c>
      <c r="E47" s="1" t="str">
        <v>-2</v>
      </c>
      <c r="F47" s="1" t="str">
        <v>+2</v>
      </c>
      <c r="G47" s="1" t="str">
        <v>0</v>
      </c>
      <c r="H47" s="1" t="str">
        <v>-1</v>
      </c>
      <c r="I47" s="1" t="str">
        <v>-1</v>
      </c>
      <c r="J47" s="1" t="str">
        <v>+2</v>
      </c>
      <c r="K47" s="1" t="str">
        <v>0</v>
      </c>
      <c r="L47" s="1" t="str">
        <v>-1</v>
      </c>
      <c r="M47" s="1" t="str">
        <v>-2</v>
      </c>
      <c r="N47" s="1" t="str">
        <v>+2</v>
      </c>
      <c r="O47" s="1" t="str">
        <v>+1</v>
      </c>
      <c r="P47" s="1" t="str">
        <v>-2</v>
      </c>
      <c r="Q47" s="1" t="str">
        <v>-1</v>
      </c>
      <c r="R47" s="1" t="str">
        <v>+2</v>
      </c>
      <c r="S47" s="1" t="str">
        <v>+1</v>
      </c>
      <c r="T47" s="2" t="str">
        <f t="shared" si="0"/>
        <v>6'b101011: begin t_symb.A = -2;  t_symb.B = -2; t_symb.C = +2; t_symb.D = 0; end</v>
      </c>
      <c r="U47" s="2" t="str">
        <f t="shared" si="1"/>
        <v>6'b101011: begin t_symb.A = -1;  t_symb.B = -1; t_symb.C = +2; t_symb.D = 0; end</v>
      </c>
      <c r="V47" s="2" t="str">
        <f t="shared" si="2"/>
        <v>6'b101011: begin t_symb.A = -1;  t_symb.B = -2; t_symb.C = +2; t_symb.D = +1; end</v>
      </c>
      <c r="W47" s="2" t="str">
        <f t="shared" si="3"/>
        <v>6'b101011: begin t_symb.A = -2;  t_symb.B = -1; t_symb.C = +2; t_symb.D = +1; end</v>
      </c>
    </row>
    <row r="48" spans="1:23" x14ac:dyDescent="0.25">
      <c r="A48" s="1" t="s">
        <v>51</v>
      </c>
      <c r="B48" s="1" t="str" cm="1">
        <f t="array" ref="B48:S48">_xlfn.TEXTSPLIT(TRIM(A48), {" ",",",", "})</f>
        <v>Normal</v>
      </c>
      <c r="C48" s="1" t="str">
        <v>101100</v>
      </c>
      <c r="D48" s="1" t="str">
        <v>0</v>
      </c>
      <c r="E48" s="1" t="str">
        <v>0</v>
      </c>
      <c r="F48" s="1" t="str">
        <v>+2</v>
      </c>
      <c r="G48" s="1" t="str">
        <v>-2</v>
      </c>
      <c r="H48" s="1" t="str">
        <v>+1</v>
      </c>
      <c r="I48" s="1" t="str">
        <v>+1</v>
      </c>
      <c r="J48" s="1" t="str">
        <v>+2</v>
      </c>
      <c r="K48" s="1" t="str">
        <v>-2</v>
      </c>
      <c r="L48" s="1" t="str">
        <v>+1</v>
      </c>
      <c r="M48" s="1" t="str">
        <v>0</v>
      </c>
      <c r="N48" s="1" t="str">
        <v>+2</v>
      </c>
      <c r="O48" s="1" t="str">
        <v>-1</v>
      </c>
      <c r="P48" s="1" t="str">
        <v>0</v>
      </c>
      <c r="Q48" s="1" t="str">
        <v>+1</v>
      </c>
      <c r="R48" s="1" t="str">
        <v>+2</v>
      </c>
      <c r="S48" s="1" t="str">
        <v>-1</v>
      </c>
      <c r="T48" s="2" t="str">
        <f t="shared" si="0"/>
        <v>6'b101100: begin t_symb.A = 0;  t_symb.B = 0; t_symb.C = +2; t_symb.D = -2; end</v>
      </c>
      <c r="U48" s="2" t="str">
        <f t="shared" si="1"/>
        <v>6'b101100: begin t_symb.A = +1;  t_symb.B = +1; t_symb.C = +2; t_symb.D = -2; end</v>
      </c>
      <c r="V48" s="2" t="str">
        <f t="shared" si="2"/>
        <v>6'b101100: begin t_symb.A = +1;  t_symb.B = 0; t_symb.C = +2; t_symb.D = -1; end</v>
      </c>
      <c r="W48" s="2" t="str">
        <f t="shared" si="3"/>
        <v>6'b101100: begin t_symb.A = 0;  t_symb.B = +1; t_symb.C = +2; t_symb.D = -1; end</v>
      </c>
    </row>
    <row r="49" spans="1:23" x14ac:dyDescent="0.25">
      <c r="A49" s="1" t="s">
        <v>52</v>
      </c>
      <c r="B49" s="1" t="str" cm="1">
        <f t="array" ref="B49:S49">_xlfn.TEXTSPLIT(TRIM(A49), {" ",",",", "})</f>
        <v>Normal</v>
      </c>
      <c r="C49" s="1" t="str">
        <v>101101</v>
      </c>
      <c r="D49" s="1" t="str">
        <v>-2</v>
      </c>
      <c r="E49" s="1" t="str">
        <v>0</v>
      </c>
      <c r="F49" s="1" t="str">
        <v>+2</v>
      </c>
      <c r="G49" s="1" t="str">
        <v>-2</v>
      </c>
      <c r="H49" s="1" t="str">
        <v>-1</v>
      </c>
      <c r="I49" s="1" t="str">
        <v>+1</v>
      </c>
      <c r="J49" s="1" t="str">
        <v>+2</v>
      </c>
      <c r="K49" s="1" t="str">
        <v>-2</v>
      </c>
      <c r="L49" s="1" t="str">
        <v>-1</v>
      </c>
      <c r="M49" s="1" t="str">
        <v>0</v>
      </c>
      <c r="N49" s="1" t="str">
        <v>+2</v>
      </c>
      <c r="O49" s="1" t="str">
        <v>-1</v>
      </c>
      <c r="P49" s="1" t="str">
        <v>-2</v>
      </c>
      <c r="Q49" s="1" t="str">
        <v>+1</v>
      </c>
      <c r="R49" s="1" t="str">
        <v>+2</v>
      </c>
      <c r="S49" s="1" t="str">
        <v>-1</v>
      </c>
      <c r="T49" s="2" t="str">
        <f t="shared" si="0"/>
        <v>6'b101101: begin t_symb.A = -2;  t_symb.B = 0; t_symb.C = +2; t_symb.D = -2; end</v>
      </c>
      <c r="U49" s="2" t="str">
        <f t="shared" si="1"/>
        <v>6'b101101: begin t_symb.A = -1;  t_symb.B = +1; t_symb.C = +2; t_symb.D = -2; end</v>
      </c>
      <c r="V49" s="2" t="str">
        <f t="shared" si="2"/>
        <v>6'b101101: begin t_symb.A = -1;  t_symb.B = 0; t_symb.C = +2; t_symb.D = -1; end</v>
      </c>
      <c r="W49" s="2" t="str">
        <f t="shared" si="3"/>
        <v>6'b101101: begin t_symb.A = -2;  t_symb.B = +1; t_symb.C = +2; t_symb.D = -1; end</v>
      </c>
    </row>
    <row r="50" spans="1:23" x14ac:dyDescent="0.25">
      <c r="A50" s="1" t="s">
        <v>53</v>
      </c>
      <c r="B50" s="1" t="str" cm="1">
        <f t="array" ref="B50:S50">_xlfn.TEXTSPLIT(TRIM(A50), {" ",",",", "})</f>
        <v>Normal</v>
      </c>
      <c r="C50" s="1" t="str">
        <v>101110</v>
      </c>
      <c r="D50" s="1" t="str">
        <v>0</v>
      </c>
      <c r="E50" s="1" t="str">
        <v>-2</v>
      </c>
      <c r="F50" s="1" t="str">
        <v>+2</v>
      </c>
      <c r="G50" s="1" t="str">
        <v>-2</v>
      </c>
      <c r="H50" s="1" t="str">
        <v>+1</v>
      </c>
      <c r="I50" s="1" t="str">
        <v>-1</v>
      </c>
      <c r="J50" s="1" t="str">
        <v>+2</v>
      </c>
      <c r="K50" s="1" t="str">
        <v>-2</v>
      </c>
      <c r="L50" s="1" t="str">
        <v>+1</v>
      </c>
      <c r="M50" s="1" t="str">
        <v>-2</v>
      </c>
      <c r="N50" s="1" t="str">
        <v>+2</v>
      </c>
      <c r="O50" s="1" t="str">
        <v>-1</v>
      </c>
      <c r="P50" s="1" t="str">
        <v>0</v>
      </c>
      <c r="Q50" s="1" t="str">
        <v>-1</v>
      </c>
      <c r="R50" s="1" t="str">
        <v>+2</v>
      </c>
      <c r="S50" s="1" t="str">
        <v>-1</v>
      </c>
      <c r="T50" s="2" t="str">
        <f t="shared" si="0"/>
        <v>6'b101110: begin t_symb.A = 0;  t_symb.B = -2; t_symb.C = +2; t_symb.D = -2; end</v>
      </c>
      <c r="U50" s="2" t="str">
        <f t="shared" si="1"/>
        <v>6'b101110: begin t_symb.A = +1;  t_symb.B = -1; t_symb.C = +2; t_symb.D = -2; end</v>
      </c>
      <c r="V50" s="2" t="str">
        <f t="shared" si="2"/>
        <v>6'b101110: begin t_symb.A = +1;  t_symb.B = -2; t_symb.C = +2; t_symb.D = -1; end</v>
      </c>
      <c r="W50" s="2" t="str">
        <f t="shared" si="3"/>
        <v>6'b101110: begin t_symb.A = 0;  t_symb.B = -1; t_symb.C = +2; t_symb.D = -1; end</v>
      </c>
    </row>
    <row r="51" spans="1:23" x14ac:dyDescent="0.25">
      <c r="A51" s="1" t="s">
        <v>54</v>
      </c>
      <c r="B51" s="1" t="str" cm="1">
        <f t="array" ref="B51:S51">_xlfn.TEXTSPLIT(TRIM(A51), {" ",",",", "})</f>
        <v>Normal</v>
      </c>
      <c r="C51" s="1" t="str">
        <v>101111</v>
      </c>
      <c r="D51" s="1" t="str">
        <v>-2</v>
      </c>
      <c r="E51" s="1" t="str">
        <v>-2</v>
      </c>
      <c r="F51" s="1" t="str">
        <v>+2</v>
      </c>
      <c r="G51" s="1" t="str">
        <v>-2</v>
      </c>
      <c r="H51" s="1" t="str">
        <v>-1</v>
      </c>
      <c r="I51" s="1" t="str">
        <v>-1</v>
      </c>
      <c r="J51" s="1" t="str">
        <v>+2</v>
      </c>
      <c r="K51" s="1" t="str">
        <v>-2</v>
      </c>
      <c r="L51" s="1" t="str">
        <v>-1</v>
      </c>
      <c r="M51" s="1" t="str">
        <v>-2</v>
      </c>
      <c r="N51" s="1" t="str">
        <v>+2</v>
      </c>
      <c r="O51" s="1" t="str">
        <v>-1</v>
      </c>
      <c r="P51" s="1" t="str">
        <v>-2</v>
      </c>
      <c r="Q51" s="1" t="str">
        <v>-1</v>
      </c>
      <c r="R51" s="1" t="str">
        <v>+2</v>
      </c>
      <c r="S51" s="1" t="str">
        <v>-1</v>
      </c>
      <c r="T51" s="2" t="str">
        <f t="shared" si="0"/>
        <v>6'b101111: begin t_symb.A = -2;  t_symb.B = -2; t_symb.C = +2; t_symb.D = -2; end</v>
      </c>
      <c r="U51" s="2" t="str">
        <f t="shared" si="1"/>
        <v>6'b101111: begin t_symb.A = -1;  t_symb.B = -1; t_symb.C = +2; t_symb.D = -2; end</v>
      </c>
      <c r="V51" s="2" t="str">
        <f t="shared" si="2"/>
        <v>6'b101111: begin t_symb.A = -1;  t_symb.B = -2; t_symb.C = +2; t_symb.D = -1; end</v>
      </c>
      <c r="W51" s="2" t="str">
        <f t="shared" si="3"/>
        <v>6'b101111: begin t_symb.A = -2;  t_symb.B = -1; t_symb.C = +2; t_symb.D = -1; end</v>
      </c>
    </row>
    <row r="52" spans="1:23" x14ac:dyDescent="0.25">
      <c r="A52" s="1" t="s">
        <v>55</v>
      </c>
      <c r="B52" s="1" t="str" cm="1">
        <f t="array" ref="B52:S52">_xlfn.TEXTSPLIT(TRIM(A52), {" ",",",", "})</f>
        <v>Normal</v>
      </c>
      <c r="C52" s="1" t="str">
        <v>110000</v>
      </c>
      <c r="D52" s="1" t="str">
        <v>0</v>
      </c>
      <c r="E52" s="1" t="str">
        <v>+2</v>
      </c>
      <c r="F52" s="1" t="str">
        <v>0</v>
      </c>
      <c r="G52" s="1" t="str">
        <v>0</v>
      </c>
      <c r="H52" s="1" t="str">
        <v>0</v>
      </c>
      <c r="I52" s="1" t="str">
        <v>+2</v>
      </c>
      <c r="J52" s="1" t="str">
        <v>+1</v>
      </c>
      <c r="K52" s="1" t="str">
        <v>+1</v>
      </c>
      <c r="L52" s="1" t="str">
        <v>+1</v>
      </c>
      <c r="M52" s="1" t="str">
        <v>+2</v>
      </c>
      <c r="N52" s="1" t="str">
        <v>0</v>
      </c>
      <c r="O52" s="1" t="str">
        <v>+1</v>
      </c>
      <c r="P52" s="1" t="str">
        <v>+1</v>
      </c>
      <c r="Q52" s="1" t="str">
        <v>+2</v>
      </c>
      <c r="R52" s="1" t="str">
        <v>+1</v>
      </c>
      <c r="S52" s="1" t="str">
        <v>0</v>
      </c>
      <c r="T52" s="2" t="str">
        <f t="shared" si="0"/>
        <v>6'b110000: begin t_symb.A = 0;  t_symb.B = +2; t_symb.C = 0; t_symb.D = 0; end</v>
      </c>
      <c r="U52" s="2" t="str">
        <f t="shared" si="1"/>
        <v>6'b110000: begin t_symb.A = 0;  t_symb.B = +2; t_symb.C = +1; t_symb.D = +1; end</v>
      </c>
      <c r="V52" s="2" t="str">
        <f t="shared" si="2"/>
        <v>6'b110000: begin t_symb.A = +1;  t_symb.B = +2; t_symb.C = 0; t_symb.D = +1; end</v>
      </c>
      <c r="W52" s="2" t="str">
        <f t="shared" si="3"/>
        <v>6'b110000: begin t_symb.A = +1;  t_symb.B = +2; t_symb.C = +1; t_symb.D = 0; end</v>
      </c>
    </row>
    <row r="53" spans="1:23" x14ac:dyDescent="0.25">
      <c r="A53" s="1" t="s">
        <v>56</v>
      </c>
      <c r="B53" s="1" t="str" cm="1">
        <f t="array" ref="B53:S53">_xlfn.TEXTSPLIT(TRIM(A53), {" ",",",", "})</f>
        <v>Normal</v>
      </c>
      <c r="C53" s="1" t="str">
        <v>110001</v>
      </c>
      <c r="D53" s="1" t="str">
        <v>-2</v>
      </c>
      <c r="E53" s="1" t="str">
        <v>+2</v>
      </c>
      <c r="F53" s="1" t="str">
        <v>0</v>
      </c>
      <c r="G53" s="1" t="str">
        <v>0</v>
      </c>
      <c r="H53" s="1" t="str">
        <v>-2</v>
      </c>
      <c r="I53" s="1" t="str">
        <v>+2</v>
      </c>
      <c r="J53" s="1" t="str">
        <v>+1</v>
      </c>
      <c r="K53" s="1" t="str">
        <v>+1</v>
      </c>
      <c r="L53" s="1" t="str">
        <v>-1</v>
      </c>
      <c r="M53" s="1" t="str">
        <v>+2</v>
      </c>
      <c r="N53" s="1" t="str">
        <v>0</v>
      </c>
      <c r="O53" s="1" t="str">
        <v>+1</v>
      </c>
      <c r="P53" s="1" t="str">
        <v>-1</v>
      </c>
      <c r="Q53" s="1" t="str">
        <v>+2</v>
      </c>
      <c r="R53" s="1" t="str">
        <v>+1</v>
      </c>
      <c r="S53" s="1" t="str">
        <v>0</v>
      </c>
      <c r="T53" s="2" t="str">
        <f t="shared" si="0"/>
        <v>6'b110001: begin t_symb.A = -2;  t_symb.B = +2; t_symb.C = 0; t_symb.D = 0; end</v>
      </c>
      <c r="U53" s="2" t="str">
        <f t="shared" si="1"/>
        <v>6'b110001: begin t_symb.A = -2;  t_symb.B = +2; t_symb.C = +1; t_symb.D = +1; end</v>
      </c>
      <c r="V53" s="2" t="str">
        <f t="shared" si="2"/>
        <v>6'b110001: begin t_symb.A = -1;  t_symb.B = +2; t_symb.C = 0; t_symb.D = +1; end</v>
      </c>
      <c r="W53" s="2" t="str">
        <f t="shared" si="3"/>
        <v>6'b110001: begin t_symb.A = -1;  t_symb.B = +2; t_symb.C = +1; t_symb.D = 0; end</v>
      </c>
    </row>
    <row r="54" spans="1:23" x14ac:dyDescent="0.25">
      <c r="A54" s="1" t="s">
        <v>57</v>
      </c>
      <c r="B54" s="1" t="str" cm="1">
        <f t="array" ref="B54:S54">_xlfn.TEXTSPLIT(TRIM(A54), {" ",",",", "})</f>
        <v>Normal</v>
      </c>
      <c r="C54" s="1" t="str">
        <v>110010</v>
      </c>
      <c r="D54" s="1" t="str">
        <v>0</v>
      </c>
      <c r="E54" s="1" t="str">
        <v>+2</v>
      </c>
      <c r="F54" s="1" t="str">
        <v>-2</v>
      </c>
      <c r="G54" s="1" t="str">
        <v>0</v>
      </c>
      <c r="H54" s="1" t="str">
        <v>0</v>
      </c>
      <c r="I54" s="1" t="str">
        <v>+2</v>
      </c>
      <c r="J54" s="1" t="str">
        <v>-1</v>
      </c>
      <c r="K54" s="1" t="str">
        <v>+1</v>
      </c>
      <c r="L54" s="1" t="str">
        <v>+1</v>
      </c>
      <c r="M54" s="1" t="str">
        <v>+2</v>
      </c>
      <c r="N54" s="1" t="str">
        <v>-2</v>
      </c>
      <c r="O54" s="1" t="str">
        <v>+1</v>
      </c>
      <c r="P54" s="1" t="str">
        <v>+1</v>
      </c>
      <c r="Q54" s="1" t="str">
        <v>+2</v>
      </c>
      <c r="R54" s="1" t="str">
        <v>-1</v>
      </c>
      <c r="S54" s="1" t="str">
        <v>0</v>
      </c>
      <c r="T54" s="2" t="str">
        <f t="shared" si="0"/>
        <v>6'b110010: begin t_symb.A = 0;  t_symb.B = +2; t_symb.C = -2; t_symb.D = 0; end</v>
      </c>
      <c r="U54" s="2" t="str">
        <f t="shared" si="1"/>
        <v>6'b110010: begin t_symb.A = 0;  t_symb.B = +2; t_symb.C = -1; t_symb.D = +1; end</v>
      </c>
      <c r="V54" s="2" t="str">
        <f t="shared" si="2"/>
        <v>6'b110010: begin t_symb.A = +1;  t_symb.B = +2; t_symb.C = -2; t_symb.D = +1; end</v>
      </c>
      <c r="W54" s="2" t="str">
        <f t="shared" si="3"/>
        <v>6'b110010: begin t_symb.A = +1;  t_symb.B = +2; t_symb.C = -1; t_symb.D = 0; end</v>
      </c>
    </row>
    <row r="55" spans="1:23" x14ac:dyDescent="0.25">
      <c r="A55" s="1" t="s">
        <v>58</v>
      </c>
      <c r="B55" s="1" t="str" cm="1">
        <f t="array" ref="B55:S55">_xlfn.TEXTSPLIT(TRIM(A55), {" ",",",", "})</f>
        <v>Normal</v>
      </c>
      <c r="C55" s="1" t="str">
        <v>110011</v>
      </c>
      <c r="D55" s="1" t="str">
        <v>-2</v>
      </c>
      <c r="E55" s="1" t="str">
        <v>+2</v>
      </c>
      <c r="F55" s="1" t="str">
        <v>-2</v>
      </c>
      <c r="G55" s="1" t="str">
        <v>0</v>
      </c>
      <c r="H55" s="1" t="str">
        <v>-2</v>
      </c>
      <c r="I55" s="1" t="str">
        <v>+2</v>
      </c>
      <c r="J55" s="1" t="str">
        <v>-1</v>
      </c>
      <c r="K55" s="1" t="str">
        <v>+1</v>
      </c>
      <c r="L55" s="1" t="str">
        <v>-1</v>
      </c>
      <c r="M55" s="1" t="str">
        <v>+2</v>
      </c>
      <c r="N55" s="1" t="str">
        <v>-2</v>
      </c>
      <c r="O55" s="1" t="str">
        <v>+1</v>
      </c>
      <c r="P55" s="1" t="str">
        <v>-1</v>
      </c>
      <c r="Q55" s="1" t="str">
        <v>+2</v>
      </c>
      <c r="R55" s="1" t="str">
        <v>-1</v>
      </c>
      <c r="S55" s="1" t="str">
        <v>0</v>
      </c>
      <c r="T55" s="2" t="str">
        <f t="shared" si="0"/>
        <v>6'b110011: begin t_symb.A = -2;  t_symb.B = +2; t_symb.C = -2; t_symb.D = 0; end</v>
      </c>
      <c r="U55" s="2" t="str">
        <f t="shared" si="1"/>
        <v>6'b110011: begin t_symb.A = -2;  t_symb.B = +2; t_symb.C = -1; t_symb.D = +1; end</v>
      </c>
      <c r="V55" s="2" t="str">
        <f t="shared" si="2"/>
        <v>6'b110011: begin t_symb.A = -1;  t_symb.B = +2; t_symb.C = -2; t_symb.D = +1; end</v>
      </c>
      <c r="W55" s="2" t="str">
        <f t="shared" si="3"/>
        <v>6'b110011: begin t_symb.A = -1;  t_symb.B = +2; t_symb.C = -1; t_symb.D = 0; end</v>
      </c>
    </row>
    <row r="56" spans="1:23" x14ac:dyDescent="0.25">
      <c r="A56" s="1" t="s">
        <v>59</v>
      </c>
      <c r="B56" s="1" t="str" cm="1">
        <f t="array" ref="B56:S56">_xlfn.TEXTSPLIT(TRIM(A56), {" ",",",", "})</f>
        <v>Normal</v>
      </c>
      <c r="C56" s="1" t="str">
        <v>110100</v>
      </c>
      <c r="D56" s="1" t="str">
        <v>0</v>
      </c>
      <c r="E56" s="1" t="str">
        <v>+2</v>
      </c>
      <c r="F56" s="1" t="str">
        <v>0</v>
      </c>
      <c r="G56" s="1" t="str">
        <v>-2</v>
      </c>
      <c r="H56" s="1" t="str">
        <v>0</v>
      </c>
      <c r="I56" s="1" t="str">
        <v>+2</v>
      </c>
      <c r="J56" s="1" t="str">
        <v>+1</v>
      </c>
      <c r="K56" s="1" t="str">
        <v>-1</v>
      </c>
      <c r="L56" s="1" t="str">
        <v>+1</v>
      </c>
      <c r="M56" s="1" t="str">
        <v>+2</v>
      </c>
      <c r="N56" s="1" t="str">
        <v>0</v>
      </c>
      <c r="O56" s="1" t="str">
        <v>-1</v>
      </c>
      <c r="P56" s="1" t="str">
        <v>+1</v>
      </c>
      <c r="Q56" s="1" t="str">
        <v>+2</v>
      </c>
      <c r="R56" s="1" t="str">
        <v>+1</v>
      </c>
      <c r="S56" s="1" t="str">
        <v>-2</v>
      </c>
      <c r="T56" s="2" t="str">
        <f t="shared" si="0"/>
        <v>6'b110100: begin t_symb.A = 0;  t_symb.B = +2; t_symb.C = 0; t_symb.D = -2; end</v>
      </c>
      <c r="U56" s="2" t="str">
        <f t="shared" si="1"/>
        <v>6'b110100: begin t_symb.A = 0;  t_symb.B = +2; t_symb.C = +1; t_symb.D = -1; end</v>
      </c>
      <c r="V56" s="2" t="str">
        <f t="shared" si="2"/>
        <v>6'b110100: begin t_symb.A = +1;  t_symb.B = +2; t_symb.C = 0; t_symb.D = -1; end</v>
      </c>
      <c r="W56" s="2" t="str">
        <f t="shared" si="3"/>
        <v>6'b110100: begin t_symb.A = +1;  t_symb.B = +2; t_symb.C = +1; t_symb.D = -2; end</v>
      </c>
    </row>
    <row r="57" spans="1:23" x14ac:dyDescent="0.25">
      <c r="A57" s="1" t="s">
        <v>60</v>
      </c>
      <c r="B57" s="1" t="str" cm="1">
        <f t="array" ref="B57:S57">_xlfn.TEXTSPLIT(TRIM(A57), {" ",",",", "})</f>
        <v>Normal</v>
      </c>
      <c r="C57" s="1" t="str">
        <v>110101</v>
      </c>
      <c r="D57" s="1" t="str">
        <v>-2</v>
      </c>
      <c r="E57" s="1" t="str">
        <v>+2</v>
      </c>
      <c r="F57" s="1" t="str">
        <v>0</v>
      </c>
      <c r="G57" s="1" t="str">
        <v>-2</v>
      </c>
      <c r="H57" s="1" t="str">
        <v>-2</v>
      </c>
      <c r="I57" s="1" t="str">
        <v>+2</v>
      </c>
      <c r="J57" s="1" t="str">
        <v>+1</v>
      </c>
      <c r="K57" s="1" t="str">
        <v>-1</v>
      </c>
      <c r="L57" s="1" t="str">
        <v>-1</v>
      </c>
      <c r="M57" s="1" t="str">
        <v>+2</v>
      </c>
      <c r="N57" s="1" t="str">
        <v>0</v>
      </c>
      <c r="O57" s="1" t="str">
        <v>-1</v>
      </c>
      <c r="P57" s="1" t="str">
        <v>-1</v>
      </c>
      <c r="Q57" s="1" t="str">
        <v>+2</v>
      </c>
      <c r="R57" s="1" t="str">
        <v>+1</v>
      </c>
      <c r="S57" s="1" t="str">
        <v>-2</v>
      </c>
      <c r="T57" s="2" t="str">
        <f t="shared" si="0"/>
        <v>6'b110101: begin t_symb.A = -2;  t_symb.B = +2; t_symb.C = 0; t_symb.D = -2; end</v>
      </c>
      <c r="U57" s="2" t="str">
        <f t="shared" si="1"/>
        <v>6'b110101: begin t_symb.A = -2;  t_symb.B = +2; t_symb.C = +1; t_symb.D = -1; end</v>
      </c>
      <c r="V57" s="2" t="str">
        <f t="shared" si="2"/>
        <v>6'b110101: begin t_symb.A = -1;  t_symb.B = +2; t_symb.C = 0; t_symb.D = -1; end</v>
      </c>
      <c r="W57" s="2" t="str">
        <f t="shared" si="3"/>
        <v>6'b110101: begin t_symb.A = -1;  t_symb.B = +2; t_symb.C = +1; t_symb.D = -2; end</v>
      </c>
    </row>
    <row r="58" spans="1:23" x14ac:dyDescent="0.25">
      <c r="A58" s="1" t="s">
        <v>61</v>
      </c>
      <c r="B58" s="1" t="str" cm="1">
        <f t="array" ref="B58:S58">_xlfn.TEXTSPLIT(TRIM(A58), {" ",",",", "})</f>
        <v>Normal</v>
      </c>
      <c r="C58" s="1" t="str">
        <v>110110</v>
      </c>
      <c r="D58" s="1" t="str">
        <v>0</v>
      </c>
      <c r="E58" s="1" t="str">
        <v>+2</v>
      </c>
      <c r="F58" s="1" t="str">
        <v>-2</v>
      </c>
      <c r="G58" s="1" t="str">
        <v>-2</v>
      </c>
      <c r="H58" s="1" t="str">
        <v>0</v>
      </c>
      <c r="I58" s="1" t="str">
        <v>+2</v>
      </c>
      <c r="J58" s="1" t="str">
        <v>-1</v>
      </c>
      <c r="K58" s="1" t="str">
        <v>-1</v>
      </c>
      <c r="L58" s="1" t="str">
        <v>+1</v>
      </c>
      <c r="M58" s="1" t="str">
        <v>+2</v>
      </c>
      <c r="N58" s="1" t="str">
        <v>-2</v>
      </c>
      <c r="O58" s="1" t="str">
        <v>-1</v>
      </c>
      <c r="P58" s="1" t="str">
        <v>+1</v>
      </c>
      <c r="Q58" s="1" t="str">
        <v>+2</v>
      </c>
      <c r="R58" s="1" t="str">
        <v>-1</v>
      </c>
      <c r="S58" s="1" t="str">
        <v>-2</v>
      </c>
      <c r="T58" s="2" t="str">
        <f t="shared" si="0"/>
        <v>6'b110110: begin t_symb.A = 0;  t_symb.B = +2; t_symb.C = -2; t_symb.D = -2; end</v>
      </c>
      <c r="U58" s="2" t="str">
        <f t="shared" si="1"/>
        <v>6'b110110: begin t_symb.A = 0;  t_symb.B = +2; t_symb.C = -1; t_symb.D = -1; end</v>
      </c>
      <c r="V58" s="2" t="str">
        <f t="shared" si="2"/>
        <v>6'b110110: begin t_symb.A = +1;  t_symb.B = +2; t_symb.C = -2; t_symb.D = -1; end</v>
      </c>
      <c r="W58" s="2" t="str">
        <f t="shared" si="3"/>
        <v>6'b110110: begin t_symb.A = +1;  t_symb.B = +2; t_symb.C = -1; t_symb.D = -2; end</v>
      </c>
    </row>
    <row r="59" spans="1:23" x14ac:dyDescent="0.25">
      <c r="A59" s="1" t="s">
        <v>62</v>
      </c>
      <c r="B59" s="1" t="str" cm="1">
        <f t="array" ref="B59:S59">_xlfn.TEXTSPLIT(TRIM(A59), {" ",",",", "})</f>
        <v>Normal</v>
      </c>
      <c r="C59" s="1" t="str">
        <v>110111</v>
      </c>
      <c r="D59" s="1" t="str">
        <v>-2</v>
      </c>
      <c r="E59" s="1" t="str">
        <v>+2</v>
      </c>
      <c r="F59" s="1" t="str">
        <v>-2</v>
      </c>
      <c r="G59" s="1" t="str">
        <v>-2</v>
      </c>
      <c r="H59" s="1" t="str">
        <v>-2</v>
      </c>
      <c r="I59" s="1" t="str">
        <v>+2</v>
      </c>
      <c r="J59" s="1" t="str">
        <v>-1</v>
      </c>
      <c r="K59" s="1" t="str">
        <v>-1</v>
      </c>
      <c r="L59" s="1" t="str">
        <v>-1</v>
      </c>
      <c r="M59" s="1" t="str">
        <v>+2</v>
      </c>
      <c r="N59" s="1" t="str">
        <v>-2</v>
      </c>
      <c r="O59" s="1" t="str">
        <v>-1</v>
      </c>
      <c r="P59" s="1" t="str">
        <v>-1</v>
      </c>
      <c r="Q59" s="1" t="str">
        <v>+2</v>
      </c>
      <c r="R59" s="1" t="str">
        <v>-1</v>
      </c>
      <c r="S59" s="1" t="str">
        <v>-2</v>
      </c>
      <c r="T59" s="2" t="str">
        <f t="shared" si="0"/>
        <v>6'b110111: begin t_symb.A = -2;  t_symb.B = +2; t_symb.C = -2; t_symb.D = -2; end</v>
      </c>
      <c r="U59" s="2" t="str">
        <f t="shared" si="1"/>
        <v>6'b110111: begin t_symb.A = -2;  t_symb.B = +2; t_symb.C = -1; t_symb.D = -1; end</v>
      </c>
      <c r="V59" s="2" t="str">
        <f t="shared" si="2"/>
        <v>6'b110111: begin t_symb.A = -1;  t_symb.B = +2; t_symb.C = -2; t_symb.D = -1; end</v>
      </c>
      <c r="W59" s="2" t="str">
        <f t="shared" si="3"/>
        <v>6'b110111: begin t_symb.A = -1;  t_symb.B = +2; t_symb.C = -1; t_symb.D = -2; end</v>
      </c>
    </row>
    <row r="60" spans="1:23" x14ac:dyDescent="0.25">
      <c r="A60" s="1" t="s">
        <v>63</v>
      </c>
      <c r="B60" s="1" t="str" cm="1">
        <f t="array" ref="B60:S60">_xlfn.TEXTSPLIT(TRIM(A60), {" ",",",", "})</f>
        <v>Normal</v>
      </c>
      <c r="C60" s="1" t="str">
        <v>111000</v>
      </c>
      <c r="D60" s="1" t="str">
        <v>0</v>
      </c>
      <c r="E60" s="1" t="str">
        <v>0</v>
      </c>
      <c r="F60" s="1" t="str">
        <v>0</v>
      </c>
      <c r="G60" s="1" t="str">
        <v>+2</v>
      </c>
      <c r="H60" s="1" t="str">
        <v>+1</v>
      </c>
      <c r="I60" s="1" t="str">
        <v>+1</v>
      </c>
      <c r="J60" s="1" t="str">
        <v>0</v>
      </c>
      <c r="K60" s="1" t="str">
        <v>+2</v>
      </c>
      <c r="L60" s="1" t="str">
        <v>0</v>
      </c>
      <c r="M60" s="1" t="str">
        <v>+1</v>
      </c>
      <c r="N60" s="1" t="str">
        <v>+1</v>
      </c>
      <c r="O60" s="1" t="str">
        <v>+2</v>
      </c>
      <c r="P60" s="1" t="str">
        <v>+1</v>
      </c>
      <c r="Q60" s="1" t="str">
        <v>0</v>
      </c>
      <c r="R60" s="1" t="str">
        <v>+1</v>
      </c>
      <c r="S60" s="1" t="str">
        <v>+2</v>
      </c>
      <c r="T60" s="2" t="str">
        <f t="shared" si="0"/>
        <v>6'b111000: begin t_symb.A = 0;  t_symb.B = 0; t_symb.C = 0; t_symb.D = +2; end</v>
      </c>
      <c r="U60" s="2" t="str">
        <f t="shared" si="1"/>
        <v>6'b111000: begin t_symb.A = +1;  t_symb.B = +1; t_symb.C = 0; t_symb.D = +2; end</v>
      </c>
      <c r="V60" s="2" t="str">
        <f t="shared" si="2"/>
        <v>6'b111000: begin t_symb.A = 0;  t_symb.B = +1; t_symb.C = +1; t_symb.D = +2; end</v>
      </c>
      <c r="W60" s="2" t="str">
        <f t="shared" si="3"/>
        <v>6'b111000: begin t_symb.A = +1;  t_symb.B = 0; t_symb.C = +1; t_symb.D = +2; end</v>
      </c>
    </row>
    <row r="61" spans="1:23" x14ac:dyDescent="0.25">
      <c r="A61" s="1" t="s">
        <v>64</v>
      </c>
      <c r="B61" s="1" t="str" cm="1">
        <f t="array" ref="B61:S61">_xlfn.TEXTSPLIT(TRIM(A61), {" ",",",", "})</f>
        <v>Normal</v>
      </c>
      <c r="C61" s="1" t="str">
        <v>111001</v>
      </c>
      <c r="D61" s="1" t="str">
        <v>-2</v>
      </c>
      <c r="E61" s="1" t="str">
        <v>0</v>
      </c>
      <c r="F61" s="1" t="str">
        <v>0</v>
      </c>
      <c r="G61" s="1" t="str">
        <v>+2</v>
      </c>
      <c r="H61" s="1" t="str">
        <v>-1</v>
      </c>
      <c r="I61" s="1" t="str">
        <v>+1</v>
      </c>
      <c r="J61" s="1" t="str">
        <v>0</v>
      </c>
      <c r="K61" s="1" t="str">
        <v>+2</v>
      </c>
      <c r="L61" s="1" t="str">
        <v>-2</v>
      </c>
      <c r="M61" s="1" t="str">
        <v>+1</v>
      </c>
      <c r="N61" s="1" t="str">
        <v>+1</v>
      </c>
      <c r="O61" s="1" t="str">
        <v>+2</v>
      </c>
      <c r="P61" s="1" t="str">
        <v>-1</v>
      </c>
      <c r="Q61" s="1" t="str">
        <v>0</v>
      </c>
      <c r="R61" s="1" t="str">
        <v>+1</v>
      </c>
      <c r="S61" s="1" t="str">
        <v>+2</v>
      </c>
      <c r="T61" s="2" t="str">
        <f t="shared" si="0"/>
        <v>6'b111001: begin t_symb.A = -2;  t_symb.B = 0; t_symb.C = 0; t_symb.D = +2; end</v>
      </c>
      <c r="U61" s="2" t="str">
        <f t="shared" si="1"/>
        <v>6'b111001: begin t_symb.A = -1;  t_symb.B = +1; t_symb.C = 0; t_symb.D = +2; end</v>
      </c>
      <c r="V61" s="2" t="str">
        <f t="shared" si="2"/>
        <v>6'b111001: begin t_symb.A = -2;  t_symb.B = +1; t_symb.C = +1; t_symb.D = +2; end</v>
      </c>
      <c r="W61" s="2" t="str">
        <f t="shared" si="3"/>
        <v>6'b111001: begin t_symb.A = -1;  t_symb.B = 0; t_symb.C = +1; t_symb.D = +2; end</v>
      </c>
    </row>
    <row r="62" spans="1:23" x14ac:dyDescent="0.25">
      <c r="A62" s="1" t="s">
        <v>65</v>
      </c>
      <c r="B62" s="1" t="str" cm="1">
        <f t="array" ref="B62:S62">_xlfn.TEXTSPLIT(TRIM(A62), {" ",",",", "})</f>
        <v>Normal</v>
      </c>
      <c r="C62" s="1" t="str">
        <v>111010</v>
      </c>
      <c r="D62" s="1" t="str">
        <v>0</v>
      </c>
      <c r="E62" s="1" t="str">
        <v>-2</v>
      </c>
      <c r="F62" s="1" t="str">
        <v>0</v>
      </c>
      <c r="G62" s="1" t="str">
        <v>+2</v>
      </c>
      <c r="H62" s="1" t="str">
        <v>+1</v>
      </c>
      <c r="I62" s="1" t="str">
        <v>-1</v>
      </c>
      <c r="J62" s="1" t="str">
        <v>0</v>
      </c>
      <c r="K62" s="1" t="str">
        <v>+2</v>
      </c>
      <c r="L62" s="1" t="str">
        <v>0</v>
      </c>
      <c r="M62" s="1" t="str">
        <v>-1</v>
      </c>
      <c r="N62" s="1" t="str">
        <v>+1</v>
      </c>
      <c r="O62" s="1" t="str">
        <v>+2</v>
      </c>
      <c r="P62" s="1" t="str">
        <v>+1</v>
      </c>
      <c r="Q62" s="1" t="str">
        <v>-2</v>
      </c>
      <c r="R62" s="1" t="str">
        <v>+1</v>
      </c>
      <c r="S62" s="1" t="str">
        <v>+2</v>
      </c>
      <c r="T62" s="2" t="str">
        <f t="shared" si="0"/>
        <v>6'b111010: begin t_symb.A = 0;  t_symb.B = -2; t_symb.C = 0; t_symb.D = +2; end</v>
      </c>
      <c r="U62" s="2" t="str">
        <f t="shared" si="1"/>
        <v>6'b111010: begin t_symb.A = +1;  t_symb.B = -1; t_symb.C = 0; t_symb.D = +2; end</v>
      </c>
      <c r="V62" s="2" t="str">
        <f t="shared" si="2"/>
        <v>6'b111010: begin t_symb.A = 0;  t_symb.B = -1; t_symb.C = +1; t_symb.D = +2; end</v>
      </c>
      <c r="W62" s="2" t="str">
        <f t="shared" si="3"/>
        <v>6'b111010: begin t_symb.A = +1;  t_symb.B = -2; t_symb.C = +1; t_symb.D = +2; end</v>
      </c>
    </row>
    <row r="63" spans="1:23" x14ac:dyDescent="0.25">
      <c r="A63" s="1" t="s">
        <v>66</v>
      </c>
      <c r="B63" s="1" t="str" cm="1">
        <f t="array" ref="B63:S63">_xlfn.TEXTSPLIT(TRIM(A63), {" ",",",", "})</f>
        <v>Normal</v>
      </c>
      <c r="C63" s="1" t="str">
        <v>111011</v>
      </c>
      <c r="D63" s="1" t="str">
        <v>-2</v>
      </c>
      <c r="E63" s="1" t="str">
        <v>-2</v>
      </c>
      <c r="F63" s="1" t="str">
        <v>0</v>
      </c>
      <c r="G63" s="1" t="str">
        <v>+2</v>
      </c>
      <c r="H63" s="1" t="str">
        <v>-1</v>
      </c>
      <c r="I63" s="1" t="str">
        <v>-1</v>
      </c>
      <c r="J63" s="1" t="str">
        <v>0</v>
      </c>
      <c r="K63" s="1" t="str">
        <v>+2</v>
      </c>
      <c r="L63" s="1" t="str">
        <v>-2</v>
      </c>
      <c r="M63" s="1" t="str">
        <v>-1</v>
      </c>
      <c r="N63" s="1" t="str">
        <v>+1</v>
      </c>
      <c r="O63" s="1" t="str">
        <v>+2</v>
      </c>
      <c r="P63" s="1" t="str">
        <v>-1</v>
      </c>
      <c r="Q63" s="1" t="str">
        <v>-2</v>
      </c>
      <c r="R63" s="1" t="str">
        <v>+1</v>
      </c>
      <c r="S63" s="1" t="str">
        <v>+2</v>
      </c>
      <c r="T63" s="2" t="str">
        <f t="shared" si="0"/>
        <v>6'b111011: begin t_symb.A = -2;  t_symb.B = -2; t_symb.C = 0; t_symb.D = +2; end</v>
      </c>
      <c r="U63" s="2" t="str">
        <f t="shared" si="1"/>
        <v>6'b111011: begin t_symb.A = -1;  t_symb.B = -1; t_symb.C = 0; t_symb.D = +2; end</v>
      </c>
      <c r="V63" s="2" t="str">
        <f t="shared" si="2"/>
        <v>6'b111011: begin t_symb.A = -2;  t_symb.B = -1; t_symb.C = +1; t_symb.D = +2; end</v>
      </c>
      <c r="W63" s="2" t="str">
        <f t="shared" si="3"/>
        <v>6'b111011: begin t_symb.A = -1;  t_symb.B = -2; t_symb.C = +1; t_symb.D = +2; end</v>
      </c>
    </row>
    <row r="64" spans="1:23" x14ac:dyDescent="0.25">
      <c r="A64" s="1" t="s">
        <v>67</v>
      </c>
      <c r="B64" s="1" t="str" cm="1">
        <f t="array" ref="B64:S64">_xlfn.TEXTSPLIT(TRIM(A64), {" ",",",", "})</f>
        <v>Normal</v>
      </c>
      <c r="C64" s="1" t="str">
        <v>111100</v>
      </c>
      <c r="D64" s="1" t="str">
        <v>0</v>
      </c>
      <c r="E64" s="1" t="str">
        <v>0</v>
      </c>
      <c r="F64" s="1" t="str">
        <v>-2</v>
      </c>
      <c r="G64" s="1" t="str">
        <v>+2</v>
      </c>
      <c r="H64" s="1" t="str">
        <v>+1</v>
      </c>
      <c r="I64" s="1" t="str">
        <v>+1</v>
      </c>
      <c r="J64" s="1" t="str">
        <v>-2</v>
      </c>
      <c r="K64" s="1" t="str">
        <v>+2</v>
      </c>
      <c r="L64" s="1" t="str">
        <v>0</v>
      </c>
      <c r="M64" s="1" t="str">
        <v>+1</v>
      </c>
      <c r="N64" s="1" t="str">
        <v>-1</v>
      </c>
      <c r="O64" s="1" t="str">
        <v>+2</v>
      </c>
      <c r="P64" s="1" t="str">
        <v>+1</v>
      </c>
      <c r="Q64" s="1" t="str">
        <v>0</v>
      </c>
      <c r="R64" s="1" t="str">
        <v>-1</v>
      </c>
      <c r="S64" s="1" t="str">
        <v>+2</v>
      </c>
      <c r="T64" s="2" t="str">
        <f t="shared" si="0"/>
        <v>6'b111100: begin t_symb.A = 0;  t_symb.B = 0; t_symb.C = -2; t_symb.D = +2; end</v>
      </c>
      <c r="U64" s="2" t="str">
        <f t="shared" si="1"/>
        <v>6'b111100: begin t_symb.A = +1;  t_symb.B = +1; t_symb.C = -2; t_symb.D = +2; end</v>
      </c>
      <c r="V64" s="2" t="str">
        <f t="shared" si="2"/>
        <v>6'b111100: begin t_symb.A = 0;  t_symb.B = +1; t_symb.C = -1; t_symb.D = +2; end</v>
      </c>
      <c r="W64" s="2" t="str">
        <f t="shared" si="3"/>
        <v>6'b111100: begin t_symb.A = +1;  t_symb.B = 0; t_symb.C = -1; t_symb.D = +2; end</v>
      </c>
    </row>
    <row r="65" spans="1:23" x14ac:dyDescent="0.25">
      <c r="A65" s="1" t="s">
        <v>68</v>
      </c>
      <c r="B65" s="1" t="str" cm="1">
        <f t="array" ref="B65:S65">_xlfn.TEXTSPLIT(TRIM(A65), {" ",",",", "})</f>
        <v>Normal</v>
      </c>
      <c r="C65" s="1" t="str">
        <v>111101</v>
      </c>
      <c r="D65" s="1" t="str">
        <v>-2</v>
      </c>
      <c r="E65" s="1" t="str">
        <v>0</v>
      </c>
      <c r="F65" s="1" t="str">
        <v>-2</v>
      </c>
      <c r="G65" s="1" t="str">
        <v>+2</v>
      </c>
      <c r="H65" s="1" t="str">
        <v>-1</v>
      </c>
      <c r="I65" s="1" t="str">
        <v>+1</v>
      </c>
      <c r="J65" s="1" t="str">
        <v>-2</v>
      </c>
      <c r="K65" s="1" t="str">
        <v>+2</v>
      </c>
      <c r="L65" s="1" t="str">
        <v>-2</v>
      </c>
      <c r="M65" s="1" t="str">
        <v>+1</v>
      </c>
      <c r="N65" s="1" t="str">
        <v>-1</v>
      </c>
      <c r="O65" s="1" t="str">
        <v>+2</v>
      </c>
      <c r="P65" s="1" t="str">
        <v>-1</v>
      </c>
      <c r="Q65" s="1" t="str">
        <v>0</v>
      </c>
      <c r="R65" s="1" t="str">
        <v>-1</v>
      </c>
      <c r="S65" s="1" t="str">
        <v>+2</v>
      </c>
      <c r="T65" s="2" t="str">
        <f t="shared" si="0"/>
        <v>6'b111101: begin t_symb.A = -2;  t_symb.B = 0; t_symb.C = -2; t_symb.D = +2; end</v>
      </c>
      <c r="U65" s="2" t="str">
        <f t="shared" si="1"/>
        <v>6'b111101: begin t_symb.A = -1;  t_symb.B = +1; t_symb.C = -2; t_symb.D = +2; end</v>
      </c>
      <c r="V65" s="2" t="str">
        <f t="shared" si="2"/>
        <v>6'b111101: begin t_symb.A = -2;  t_symb.B = +1; t_symb.C = -1; t_symb.D = +2; end</v>
      </c>
      <c r="W65" s="2" t="str">
        <f t="shared" si="3"/>
        <v>6'b111101: begin t_symb.A = -1;  t_symb.B = 0; t_symb.C = -1; t_symb.D = +2; end</v>
      </c>
    </row>
    <row r="66" spans="1:23" x14ac:dyDescent="0.25">
      <c r="A66" s="1" t="s">
        <v>69</v>
      </c>
      <c r="B66" s="1" t="str" cm="1">
        <f t="array" ref="B66:S66">_xlfn.TEXTSPLIT(TRIM(A66), {" ",",",", "})</f>
        <v>Normal</v>
      </c>
      <c r="C66" s="1" t="str">
        <v>111110</v>
      </c>
      <c r="D66" s="1" t="str">
        <v>0</v>
      </c>
      <c r="E66" s="1" t="str">
        <v>-2</v>
      </c>
      <c r="F66" s="1" t="str">
        <v>-2</v>
      </c>
      <c r="G66" s="1" t="str">
        <v>+2</v>
      </c>
      <c r="H66" s="1" t="str">
        <v>+1</v>
      </c>
      <c r="I66" s="1" t="str">
        <v>-1</v>
      </c>
      <c r="J66" s="1" t="str">
        <v>-2</v>
      </c>
      <c r="K66" s="1" t="str">
        <v>+2</v>
      </c>
      <c r="L66" s="1" t="str">
        <v>0</v>
      </c>
      <c r="M66" s="1" t="str">
        <v>-1</v>
      </c>
      <c r="N66" s="1" t="str">
        <v>-1</v>
      </c>
      <c r="O66" s="1" t="str">
        <v>+2</v>
      </c>
      <c r="P66" s="1" t="str">
        <v>+1</v>
      </c>
      <c r="Q66" s="1" t="str">
        <v>-2</v>
      </c>
      <c r="R66" s="1" t="str">
        <v>-1</v>
      </c>
      <c r="S66" s="1" t="str">
        <v>+2</v>
      </c>
      <c r="T66" s="2" t="str">
        <f t="shared" si="0"/>
        <v>6'b111110: begin t_symb.A = 0;  t_symb.B = -2; t_symb.C = -2; t_symb.D = +2; end</v>
      </c>
      <c r="U66" s="2" t="str">
        <f t="shared" si="1"/>
        <v>6'b111110: begin t_symb.A = +1;  t_symb.B = -1; t_symb.C = -2; t_symb.D = +2; end</v>
      </c>
      <c r="V66" s="2" t="str">
        <f t="shared" si="2"/>
        <v>6'b111110: begin t_symb.A = 0;  t_symb.B = -1; t_symb.C = -1; t_symb.D = +2; end</v>
      </c>
      <c r="W66" s="2" t="str">
        <f t="shared" si="3"/>
        <v>6'b111110: begin t_symb.A = +1;  t_symb.B = -2; t_symb.C = -1; t_symb.D = +2; end</v>
      </c>
    </row>
    <row r="67" spans="1:23" x14ac:dyDescent="0.25">
      <c r="A67" s="1" t="s">
        <v>70</v>
      </c>
      <c r="B67" s="1" t="str" cm="1">
        <f t="array" ref="B67:S67">_xlfn.TEXTSPLIT(TRIM(A67), {" ",",",", "})</f>
        <v>Normal</v>
      </c>
      <c r="C67" s="1" t="str">
        <v>111111</v>
      </c>
      <c r="D67" s="1" t="str">
        <v>-2</v>
      </c>
      <c r="E67" s="1" t="str">
        <v>-2</v>
      </c>
      <c r="F67" s="1" t="str">
        <v>-2</v>
      </c>
      <c r="G67" s="1" t="str">
        <v>+2</v>
      </c>
      <c r="H67" s="1" t="str">
        <v>-1</v>
      </c>
      <c r="I67" s="1" t="str">
        <v>-1</v>
      </c>
      <c r="J67" s="1" t="str">
        <v>-2</v>
      </c>
      <c r="K67" s="1" t="str">
        <v>+2</v>
      </c>
      <c r="L67" s="1" t="str">
        <v>-2</v>
      </c>
      <c r="M67" s="1" t="str">
        <v>-1</v>
      </c>
      <c r="N67" s="1" t="str">
        <v>-1</v>
      </c>
      <c r="O67" s="1" t="str">
        <v>+2</v>
      </c>
      <c r="P67" s="1" t="str">
        <v>-1</v>
      </c>
      <c r="Q67" s="1" t="str">
        <v>-2</v>
      </c>
      <c r="R67" s="1" t="str">
        <v>-1</v>
      </c>
      <c r="S67" s="1" t="str">
        <v>+2</v>
      </c>
      <c r="T67" s="2" t="str">
        <f t="shared" si="0"/>
        <v>6'b111111: begin t_symb.A = -2;  t_symb.B = -2; t_symb.C = -2; t_symb.D = +2; end</v>
      </c>
      <c r="U67" s="2" t="str">
        <f t="shared" si="1"/>
        <v>6'b111111: begin t_symb.A = -1;  t_symb.B = -1; t_symb.C = -2; t_symb.D = +2; end</v>
      </c>
      <c r="V67" s="2" t="str">
        <f t="shared" si="2"/>
        <v>6'b111111: begin t_symb.A = -2;  t_symb.B = -1; t_symb.C = -1; t_symb.D = +2; end</v>
      </c>
      <c r="W67" s="2" t="str">
        <f t="shared" si="3"/>
        <v>6'b111111: begin t_symb.A = -1;  t_symb.B = -2; t_symb.C = -1; t_symb.D = +2; end</v>
      </c>
    </row>
    <row r="68" spans="1:23" x14ac:dyDescent="0.25">
      <c r="A68" s="1" t="s">
        <v>71</v>
      </c>
      <c r="B68" s="1" t="str" cm="1">
        <f t="array" ref="B68:S68">_xlfn.TEXTSPLIT(TRIM(A68), {" ",",",", "})</f>
        <v>xmt_err</v>
      </c>
      <c r="C68" s="1" t="str">
        <v>XXXXXX</v>
      </c>
      <c r="D68" s="1" t="str">
        <v>0</v>
      </c>
      <c r="E68" s="1" t="str">
        <v>+2</v>
      </c>
      <c r="F68" s="1" t="str">
        <v>+2</v>
      </c>
      <c r="G68" s="1" t="str">
        <v>0</v>
      </c>
      <c r="H68" s="1" t="str">
        <v>+1</v>
      </c>
      <c r="I68" s="1" t="str">
        <v>+1</v>
      </c>
      <c r="J68" s="1" t="str">
        <v>+2</v>
      </c>
      <c r="K68" s="1" t="str">
        <v>+2</v>
      </c>
      <c r="L68" s="1" t="str">
        <v>+2</v>
      </c>
      <c r="M68" s="1" t="str">
        <v>+1</v>
      </c>
      <c r="N68" s="1" t="str">
        <v>+1</v>
      </c>
      <c r="O68" s="1" t="str">
        <v>+2</v>
      </c>
      <c r="P68" s="1" t="str">
        <v>+2</v>
      </c>
      <c r="Q68" s="1" t="str">
        <v>+1</v>
      </c>
      <c r="R68" s="1" t="str">
        <v>+2</v>
      </c>
      <c r="S68" s="1" t="str">
        <v>+1</v>
      </c>
      <c r="T68" s="1" t="str">
        <f t="shared" ref="T68" si="4">"3'b" &amp; $D$3 &amp; ": begin t_symb.A = " &amp; D68 &amp;";  t_symb.B = " &amp; E68 &amp; "; t_symb.C = "&amp; F68 &amp; "; t_symb.D = " &amp; G68 &amp;"; end"</f>
        <v>3'b000: begin t_symb.A = 0;  t_symb.B = +2; t_symb.C = +2; t_symb.D = 0; end</v>
      </c>
      <c r="U68" s="1" t="str">
        <f t="shared" ref="U68" si="5">"3'b" &amp; $H$3 &amp; ": begin t_symb.A = " &amp; H68 &amp;";  t_symb.B = " &amp; I68 &amp; "; t_symb.C = "&amp; J68 &amp; "; t_symb.D = " &amp; K68 &amp;"; end"</f>
        <v>3'b010: begin t_symb.A = +1;  t_symb.B = +1; t_symb.C = +2; t_symb.D = +2; end</v>
      </c>
      <c r="V68" s="1" t="str">
        <f t="shared" ref="V68" si="6">"3'b" &amp; $L$3 &amp; ": begin t_symb.A = " &amp; L68 &amp;";  t_symb.B = " &amp; M68 &amp; "; t_symb.C = "&amp; N68 &amp; "; t_symb.D = " &amp; O68 &amp;"; end"</f>
        <v>3'b100: begin t_symb.A = +2;  t_symb.B = +1; t_symb.C = +1; t_symb.D = +2; end</v>
      </c>
      <c r="W68" s="1" t="str">
        <f t="shared" ref="W68" si="7">"3'b" &amp; $P$3 &amp; ": begin t_symb.A = " &amp; P68 &amp;";  t_symb.B = " &amp; Q68 &amp; "; t_symb.C = "&amp; R68 &amp; "; t_symb.D = " &amp; S68 &amp;"; end"</f>
        <v>3'b110: begin t_symb.A = +2;  t_symb.B = +1; t_symb.C = +2; t_symb.D = +1; end</v>
      </c>
    </row>
    <row r="69" spans="1:23" x14ac:dyDescent="0.25">
      <c r="A69" s="1" t="s">
        <v>4</v>
      </c>
      <c r="B69" s="1" t="str" cm="1">
        <f t="array" ref="B69:S69">_xlfn.TEXTSPLIT(TRIM(A69), {" ",",",", "})</f>
        <v>CSExtend_Err</v>
      </c>
      <c r="C69" s="1" t="str">
        <v>XXXXXX</v>
      </c>
      <c r="D69" s="1" t="str">
        <v>-2</v>
      </c>
      <c r="E69" s="1" t="str">
        <v>+2</v>
      </c>
      <c r="F69" s="1" t="str">
        <v>+2</v>
      </c>
      <c r="G69" s="1" t="str">
        <v>-2</v>
      </c>
      <c r="H69" s="1" t="str">
        <v>-1</v>
      </c>
      <c r="I69" s="1" t="str">
        <v>-1</v>
      </c>
      <c r="J69" s="1" t="str">
        <v>+2</v>
      </c>
      <c r="K69" s="1" t="str">
        <v>+2</v>
      </c>
      <c r="L69" s="1" t="str">
        <v>+2</v>
      </c>
      <c r="M69" s="1" t="str">
        <v>-1</v>
      </c>
      <c r="N69" s="1" t="str">
        <v>-1</v>
      </c>
      <c r="O69" s="1" t="str">
        <v>+2</v>
      </c>
      <c r="P69" s="1" t="str">
        <v>+2</v>
      </c>
      <c r="Q69" s="1" t="str">
        <v>-1</v>
      </c>
      <c r="R69" s="1" t="str">
        <v>+2</v>
      </c>
      <c r="S69" s="1" t="str">
        <v>-1</v>
      </c>
      <c r="T69" s="1" t="str">
        <f t="shared" ref="T69:T78" si="8">"3'b" &amp; $D$3 &amp; ": begin t_symb.A = " &amp; D69 &amp;";  t_symb.B = " &amp; E69 &amp; "; t_symb.C = "&amp; F69 &amp; "; t_symb.D = " &amp; G69 &amp;"; end"</f>
        <v>3'b000: begin t_symb.A = -2;  t_symb.B = +2; t_symb.C = +2; t_symb.D = -2; end</v>
      </c>
      <c r="U69" s="1" t="str">
        <f t="shared" ref="U69:U78" si="9">"3'b" &amp; $H$3 &amp; ": begin t_symb.A = " &amp; H69 &amp;";  t_symb.B = " &amp; I69 &amp; "; t_symb.C = "&amp; J69 &amp; "; t_symb.D = " &amp; K69 &amp;"; end"</f>
        <v>3'b010: begin t_symb.A = -1;  t_symb.B = -1; t_symb.C = +2; t_symb.D = +2; end</v>
      </c>
      <c r="V69" s="1" t="str">
        <f t="shared" ref="V69:V78" si="10">"3'b" &amp; $L$3 &amp; ": begin t_symb.A = " &amp; L69 &amp;";  t_symb.B = " &amp; M69 &amp; "; t_symb.C = "&amp; N69 &amp; "; t_symb.D = " &amp; O69 &amp;"; end"</f>
        <v>3'b100: begin t_symb.A = +2;  t_symb.B = -1; t_symb.C = -1; t_symb.D = +2; end</v>
      </c>
      <c r="W69" s="1" t="str">
        <f t="shared" ref="W69:W78" si="11">"3'b" &amp; $P$3 &amp; ": begin t_symb.A = " &amp; P69 &amp;";  t_symb.B = " &amp; Q69 &amp; "; t_symb.C = "&amp; R69 &amp; "; t_symb.D = " &amp; S69 &amp;"; end"</f>
        <v>3'b110: begin t_symb.A = +2;  t_symb.B = -1; t_symb.C = +2; t_symb.D = -1; end</v>
      </c>
    </row>
    <row r="70" spans="1:23" x14ac:dyDescent="0.25">
      <c r="A70" s="1" t="s">
        <v>72</v>
      </c>
      <c r="B70" s="1" t="str" cm="1">
        <f t="array" ref="B70:S70">_xlfn.TEXTSPLIT(TRIM(A70), {" ",",",", "})</f>
        <v>CSExtend</v>
      </c>
      <c r="C70" s="1" t="str">
        <v>XXXXXX</v>
      </c>
      <c r="D70" s="1" t="str">
        <v>+2</v>
      </c>
      <c r="E70" s="1" t="str">
        <v>0</v>
      </c>
      <c r="F70" s="1" t="str">
        <v>0</v>
      </c>
      <c r="G70" s="1" t="str">
        <v>+2</v>
      </c>
      <c r="H70" s="1" t="str">
        <v>+2</v>
      </c>
      <c r="I70" s="1" t="str">
        <v>+2</v>
      </c>
      <c r="J70" s="1" t="str">
        <v>+1</v>
      </c>
      <c r="K70" s="1" t="str">
        <v>+1</v>
      </c>
      <c r="L70" s="1" t="str">
        <v>+1</v>
      </c>
      <c r="M70" s="1" t="str">
        <v>+2</v>
      </c>
      <c r="N70" s="1" t="str">
        <v>+2</v>
      </c>
      <c r="O70" s="1" t="str">
        <v>+1</v>
      </c>
      <c r="P70" s="1" t="str">
        <v>+1</v>
      </c>
      <c r="Q70" s="1" t="str">
        <v>+2</v>
      </c>
      <c r="R70" s="1" t="str">
        <v>+1</v>
      </c>
      <c r="S70" s="1" t="str">
        <v>+2</v>
      </c>
      <c r="T70" s="1" t="str">
        <f t="shared" si="8"/>
        <v>3'b000: begin t_symb.A = +2;  t_symb.B = 0; t_symb.C = 0; t_symb.D = +2; end</v>
      </c>
      <c r="U70" s="1" t="str">
        <f t="shared" si="9"/>
        <v>3'b010: begin t_symb.A = +2;  t_symb.B = +2; t_symb.C = +1; t_symb.D = +1; end</v>
      </c>
      <c r="V70" s="1" t="str">
        <f t="shared" si="10"/>
        <v>3'b100: begin t_symb.A = +1;  t_symb.B = +2; t_symb.C = +2; t_symb.D = +1; end</v>
      </c>
      <c r="W70" s="1" t="str">
        <f t="shared" si="11"/>
        <v>3'b110: begin t_symb.A = +1;  t_symb.B = +2; t_symb.C = +1; t_symb.D = +2; end</v>
      </c>
    </row>
    <row r="71" spans="1:23" x14ac:dyDescent="0.25">
      <c r="A71" s="1" t="s">
        <v>73</v>
      </c>
      <c r="B71" s="1" t="str" cm="1">
        <f t="array" ref="B71:S71">_xlfn.TEXTSPLIT(TRIM(A71), {" ",",",", "})</f>
        <v>CSReset</v>
      </c>
      <c r="C71" s="1" t="str">
        <v>XXXXXX</v>
      </c>
      <c r="D71" s="1" t="str">
        <v>+2</v>
      </c>
      <c r="E71" s="1" t="str">
        <v>-2</v>
      </c>
      <c r="F71" s="1" t="str">
        <v>-2</v>
      </c>
      <c r="G71" s="1" t="str">
        <v>+2</v>
      </c>
      <c r="H71" s="1" t="str">
        <v>+2</v>
      </c>
      <c r="I71" s="1" t="str">
        <v>+2</v>
      </c>
      <c r="J71" s="1" t="str">
        <v>-1</v>
      </c>
      <c r="K71" s="1" t="str">
        <v>-1</v>
      </c>
      <c r="L71" s="1" t="str">
        <v>-1</v>
      </c>
      <c r="M71" s="1" t="str">
        <v>+2</v>
      </c>
      <c r="N71" s="1" t="str">
        <v>+2</v>
      </c>
      <c r="O71" s="1" t="str">
        <v>-1</v>
      </c>
      <c r="P71" s="1" t="str">
        <v>-1</v>
      </c>
      <c r="Q71" s="1" t="str">
        <v>+2</v>
      </c>
      <c r="R71" s="1" t="str">
        <v>-1</v>
      </c>
      <c r="S71" s="1" t="str">
        <v>+2</v>
      </c>
      <c r="T71" s="1" t="str">
        <f t="shared" si="8"/>
        <v>3'b000: begin t_symb.A = +2;  t_symb.B = -2; t_symb.C = -2; t_symb.D = +2; end</v>
      </c>
      <c r="U71" s="1" t="str">
        <f t="shared" si="9"/>
        <v>3'b010: begin t_symb.A = +2;  t_symb.B = +2; t_symb.C = -1; t_symb.D = -1; end</v>
      </c>
      <c r="V71" s="1" t="str">
        <f t="shared" si="10"/>
        <v>3'b100: begin t_symb.A = -1;  t_symb.B = +2; t_symb.C = +2; t_symb.D = -1; end</v>
      </c>
      <c r="W71" s="1" t="str">
        <f t="shared" si="11"/>
        <v>3'b110: begin t_symb.A = -1;  t_symb.B = +2; t_symb.C = -1; t_symb.D = +2; end</v>
      </c>
    </row>
    <row r="72" spans="1:23" x14ac:dyDescent="0.25">
      <c r="A72" s="1" t="s">
        <v>74</v>
      </c>
      <c r="B72" s="1" t="str" cm="1">
        <f t="array" ref="B72:J72">_xlfn.TEXTSPLIT(TRIM(A72), {" ",",",", "})</f>
        <v>SSD1</v>
      </c>
      <c r="C72" s="1" t="str">
        <v>XXXXXX</v>
      </c>
      <c r="D72" s="1" t="str">
        <v>+2</v>
      </c>
      <c r="E72" s="1" t="str">
        <v>+2</v>
      </c>
      <c r="F72" s="1" t="str">
        <v>+2</v>
      </c>
      <c r="G72" s="1" t="str">
        <v>+2</v>
      </c>
      <c r="H72" s="1" t="str">
        <v>-</v>
      </c>
      <c r="I72" s="1" t="str">
        <v>-</v>
      </c>
      <c r="J72" s="1" t="str">
        <v>-</v>
      </c>
      <c r="K72" s="1"/>
      <c r="L72" s="1"/>
      <c r="M72" s="1"/>
      <c r="N72" s="1"/>
      <c r="O72" s="1"/>
      <c r="P72" s="1"/>
      <c r="Q72" s="1"/>
      <c r="R72" s="1"/>
      <c r="S72" s="1"/>
      <c r="T72" s="1" t="str">
        <f t="shared" si="8"/>
        <v>3'b000: begin t_symb.A = +2;  t_symb.B = +2; t_symb.C = +2; t_symb.D = +2; end</v>
      </c>
      <c r="U72" s="1" t="str">
        <f t="shared" si="9"/>
        <v>3'b010: begin t_symb.A = -;  t_symb.B = -; t_symb.C = -; t_symb.D = ; end</v>
      </c>
      <c r="V72" s="1" t="str">
        <f t="shared" si="10"/>
        <v>3'b100: begin t_symb.A = ;  t_symb.B = ; t_symb.C = ; t_symb.D = ; end</v>
      </c>
      <c r="W72" s="1" t="str">
        <f t="shared" si="11"/>
        <v>3'b110: begin t_symb.A = ;  t_symb.B = ; t_symb.C = ; t_symb.D = ; end</v>
      </c>
    </row>
    <row r="73" spans="1:23" x14ac:dyDescent="0.25">
      <c r="A73" s="1" t="s">
        <v>75</v>
      </c>
      <c r="B73" s="1" t="str" cm="1">
        <f t="array" ref="B73:J73">_xlfn.TEXTSPLIT(TRIM(A73), {" ",",",", "})</f>
        <v>SSD2</v>
      </c>
      <c r="C73" s="1" t="str">
        <v>XXXXXX</v>
      </c>
      <c r="D73" s="1" t="str">
        <v>+2</v>
      </c>
      <c r="E73" s="1" t="str">
        <v>+2</v>
      </c>
      <c r="F73" s="1" t="str">
        <v>+2</v>
      </c>
      <c r="G73" s="1" t="str">
        <v>-2</v>
      </c>
      <c r="H73" s="1" t="str">
        <v>-</v>
      </c>
      <c r="I73" s="1" t="str">
        <v>-</v>
      </c>
      <c r="J73" s="1" t="str">
        <v>-</v>
      </c>
      <c r="K73" s="1"/>
      <c r="L73" s="1"/>
      <c r="M73" s="1"/>
      <c r="N73" s="1"/>
      <c r="O73" s="1"/>
      <c r="P73" s="1"/>
      <c r="Q73" s="1"/>
      <c r="R73" s="1"/>
      <c r="S73" s="1"/>
      <c r="T73" s="1" t="str">
        <f t="shared" si="8"/>
        <v>3'b000: begin t_symb.A = +2;  t_symb.B = +2; t_symb.C = +2; t_symb.D = -2; end</v>
      </c>
      <c r="U73" s="1" t="str">
        <f t="shared" si="9"/>
        <v>3'b010: begin t_symb.A = -;  t_symb.B = -; t_symb.C = -; t_symb.D = ; end</v>
      </c>
      <c r="V73" s="1" t="str">
        <f t="shared" si="10"/>
        <v>3'b100: begin t_symb.A = ;  t_symb.B = ; t_symb.C = ; t_symb.D = ; end</v>
      </c>
      <c r="W73" s="1" t="str">
        <f t="shared" si="11"/>
        <v>3'b110: begin t_symb.A = ;  t_symb.B = ; t_symb.C = ; t_symb.D = ; end</v>
      </c>
    </row>
    <row r="74" spans="1:23" x14ac:dyDescent="0.25">
      <c r="A74" s="1" t="s">
        <v>76</v>
      </c>
      <c r="B74" s="1" t="str" cm="1">
        <f t="array" ref="B74:J74">_xlfn.TEXTSPLIT(TRIM(A74), {" ",",",", "})</f>
        <v>ESD1</v>
      </c>
      <c r="C74" s="1" t="str">
        <v>XXXXXX</v>
      </c>
      <c r="D74" s="1" t="str">
        <v>+2</v>
      </c>
      <c r="E74" s="1" t="str">
        <v>+2</v>
      </c>
      <c r="F74" s="1" t="str">
        <v>+2</v>
      </c>
      <c r="G74" s="1" t="str">
        <v>+2</v>
      </c>
      <c r="H74" s="1" t="str">
        <v>-</v>
      </c>
      <c r="I74" s="1" t="str">
        <v>-</v>
      </c>
      <c r="J74" s="1" t="str">
        <v>-</v>
      </c>
      <c r="K74" s="1"/>
      <c r="L74" s="1"/>
      <c r="M74" s="1"/>
      <c r="N74" s="1"/>
      <c r="O74" s="1"/>
      <c r="P74" s="1"/>
      <c r="Q74" s="1"/>
      <c r="R74" s="1"/>
      <c r="S74" s="1"/>
      <c r="T74" s="1" t="str">
        <f t="shared" si="8"/>
        <v>3'b000: begin t_symb.A = +2;  t_symb.B = +2; t_symb.C = +2; t_symb.D = +2; end</v>
      </c>
      <c r="U74" s="1" t="str">
        <f t="shared" si="9"/>
        <v>3'b010: begin t_symb.A = -;  t_symb.B = -; t_symb.C = -; t_symb.D = ; end</v>
      </c>
      <c r="V74" s="1" t="str">
        <f t="shared" si="10"/>
        <v>3'b100: begin t_symb.A = ;  t_symb.B = ; t_symb.C = ; t_symb.D = ; end</v>
      </c>
      <c r="W74" s="1" t="str">
        <f t="shared" si="11"/>
        <v>3'b110: begin t_symb.A = ;  t_symb.B = ; t_symb.C = ; t_symb.D = ; end</v>
      </c>
    </row>
    <row r="75" spans="1:23" x14ac:dyDescent="0.25">
      <c r="A75" s="1" t="s">
        <v>77</v>
      </c>
      <c r="B75" s="1" t="str" cm="1">
        <f t="array" ref="B75:J75">_xlfn.TEXTSPLIT(TRIM(A75), {" ",",",", "})</f>
        <v>ESD2_Ext_0</v>
      </c>
      <c r="C75" s="1" t="str">
        <v>XXXXXX</v>
      </c>
      <c r="D75" s="1" t="str">
        <v>+2</v>
      </c>
      <c r="E75" s="1" t="str">
        <v>+2</v>
      </c>
      <c r="F75" s="1" t="str">
        <v>+2</v>
      </c>
      <c r="G75" s="1" t="str">
        <v>-2</v>
      </c>
      <c r="H75" s="1" t="str">
        <v>-</v>
      </c>
      <c r="I75" s="1" t="str">
        <v>-</v>
      </c>
      <c r="J75" s="1" t="str">
        <v>-</v>
      </c>
      <c r="K75" s="1"/>
      <c r="L75" s="1"/>
      <c r="M75" s="1"/>
      <c r="N75" s="1"/>
      <c r="O75" s="1"/>
      <c r="P75" s="1"/>
      <c r="Q75" s="1"/>
      <c r="R75" s="1"/>
      <c r="S75" s="1"/>
      <c r="T75" s="1" t="str">
        <f t="shared" si="8"/>
        <v>3'b000: begin t_symb.A = +2;  t_symb.B = +2; t_symb.C = +2; t_symb.D = -2; end</v>
      </c>
      <c r="U75" s="1" t="str">
        <f t="shared" si="9"/>
        <v>3'b010: begin t_symb.A = -;  t_symb.B = -; t_symb.C = -; t_symb.D = ; end</v>
      </c>
      <c r="V75" s="1" t="str">
        <f t="shared" si="10"/>
        <v>3'b100: begin t_symb.A = ;  t_symb.B = ; t_symb.C = ; t_symb.D = ; end</v>
      </c>
      <c r="W75" s="1" t="str">
        <f t="shared" si="11"/>
        <v>3'b110: begin t_symb.A = ;  t_symb.B = ; t_symb.C = ; t_symb.D = ; end</v>
      </c>
    </row>
    <row r="76" spans="1:23" x14ac:dyDescent="0.25">
      <c r="A76" s="1" t="s">
        <v>78</v>
      </c>
      <c r="B76" s="1" t="str" cm="1">
        <f t="array" ref="B76:J76">_xlfn.TEXTSPLIT(TRIM(A76), {" ",",",", "})</f>
        <v>ESD2_Ext_1</v>
      </c>
      <c r="C76" s="1" t="str">
        <v>XXXXXX</v>
      </c>
      <c r="D76" s="1" t="str">
        <v>+2</v>
      </c>
      <c r="E76" s="1" t="str">
        <v>+2</v>
      </c>
      <c r="F76" s="1" t="str">
        <v>-2</v>
      </c>
      <c r="G76" s="1" t="str">
        <v>+2</v>
      </c>
      <c r="H76" s="1" t="str">
        <v>-</v>
      </c>
      <c r="I76" s="1" t="str">
        <v>-</v>
      </c>
      <c r="J76" s="1" t="str">
        <v>-</v>
      </c>
      <c r="K76" s="1"/>
      <c r="L76" s="1"/>
      <c r="M76" s="1"/>
      <c r="N76" s="1"/>
      <c r="O76" s="1"/>
      <c r="P76" s="1"/>
      <c r="Q76" s="1"/>
      <c r="R76" s="1"/>
      <c r="S76" s="1"/>
      <c r="T76" s="1" t="str">
        <f t="shared" si="8"/>
        <v>3'b000: begin t_symb.A = +2;  t_symb.B = +2; t_symb.C = -2; t_symb.D = +2; end</v>
      </c>
      <c r="U76" s="1" t="str">
        <f t="shared" si="9"/>
        <v>3'b010: begin t_symb.A = -;  t_symb.B = -; t_symb.C = -; t_symb.D = ; end</v>
      </c>
      <c r="V76" s="1" t="str">
        <f t="shared" si="10"/>
        <v>3'b100: begin t_symb.A = ;  t_symb.B = ; t_symb.C = ; t_symb.D = ; end</v>
      </c>
      <c r="W76" s="1" t="str">
        <f t="shared" si="11"/>
        <v>3'b110: begin t_symb.A = ;  t_symb.B = ; t_symb.C = ; t_symb.D = ; end</v>
      </c>
    </row>
    <row r="77" spans="1:23" x14ac:dyDescent="0.25">
      <c r="A77" s="1" t="s">
        <v>79</v>
      </c>
      <c r="B77" s="1" t="str" cm="1">
        <f t="array" ref="B77:J77">_xlfn.TEXTSPLIT(TRIM(A77), {" ",",",", "})</f>
        <v>ESD2_Ext_2</v>
      </c>
      <c r="C77" s="1" t="str">
        <v>XXXXXX</v>
      </c>
      <c r="D77" s="1" t="str">
        <v>+2</v>
      </c>
      <c r="E77" s="1" t="str">
        <v>-2</v>
      </c>
      <c r="F77" s="1" t="str">
        <v>+2</v>
      </c>
      <c r="G77" s="1" t="str">
        <v>+2</v>
      </c>
      <c r="H77" s="1" t="str">
        <v>-</v>
      </c>
      <c r="I77" s="1" t="str">
        <v>-</v>
      </c>
      <c r="J77" s="1" t="str">
        <v>-</v>
      </c>
      <c r="K77" s="1"/>
      <c r="L77" s="1"/>
      <c r="M77" s="1"/>
      <c r="N77" s="1"/>
      <c r="O77" s="1"/>
      <c r="P77" s="1"/>
      <c r="Q77" s="1"/>
      <c r="R77" s="1"/>
      <c r="S77" s="1"/>
      <c r="T77" s="1" t="str">
        <f t="shared" si="8"/>
        <v>3'b000: begin t_symb.A = +2;  t_symb.B = -2; t_symb.C = +2; t_symb.D = +2; end</v>
      </c>
      <c r="U77" s="1" t="str">
        <f t="shared" si="9"/>
        <v>3'b010: begin t_symb.A = -;  t_symb.B = -; t_symb.C = -; t_symb.D = ; end</v>
      </c>
      <c r="V77" s="1" t="str">
        <f t="shared" si="10"/>
        <v>3'b100: begin t_symb.A = ;  t_symb.B = ; t_symb.C = ; t_symb.D = ; end</v>
      </c>
      <c r="W77" s="1" t="str">
        <f t="shared" si="11"/>
        <v>3'b110: begin t_symb.A = ;  t_symb.B = ; t_symb.C = ; t_symb.D = ; end</v>
      </c>
    </row>
    <row r="78" spans="1:23" x14ac:dyDescent="0.25">
      <c r="A78" s="1" t="s">
        <v>80</v>
      </c>
      <c r="B78" s="1" t="str" cm="1">
        <f t="array" ref="B78:J78">_xlfn.TEXTSPLIT(TRIM(A78), {" ",",",", "})</f>
        <v>ESD_Ext_Err</v>
      </c>
      <c r="C78" s="1" t="str">
        <v>XXXXXX</v>
      </c>
      <c r="D78" s="1" t="str">
        <v>-2</v>
      </c>
      <c r="E78" s="1" t="str">
        <v>+2</v>
      </c>
      <c r="F78" s="1" t="str">
        <v>+2</v>
      </c>
      <c r="G78" s="1" t="str">
        <v>+2</v>
      </c>
      <c r="H78" s="1" t="str">
        <v>-</v>
      </c>
      <c r="I78" s="1" t="str">
        <v>-</v>
      </c>
      <c r="J78" s="1" t="str">
        <v>-</v>
      </c>
      <c r="K78" s="1"/>
      <c r="L78" s="1"/>
      <c r="M78" s="1"/>
      <c r="N78" s="1"/>
      <c r="O78" s="1"/>
      <c r="P78" s="1"/>
      <c r="Q78" s="1"/>
      <c r="R78" s="1"/>
      <c r="S78" s="1"/>
      <c r="T78" s="1" t="str">
        <f t="shared" si="8"/>
        <v>3'b000: begin t_symb.A = -2;  t_symb.B = +2; t_symb.C = +2; t_symb.D = +2; end</v>
      </c>
      <c r="U78" s="1" t="str">
        <f t="shared" si="9"/>
        <v>3'b010: begin t_symb.A = -;  t_symb.B = -; t_symb.C = -; t_symb.D = ; end</v>
      </c>
      <c r="V78" s="1" t="str">
        <f t="shared" si="10"/>
        <v>3'b100: begin t_symb.A = ;  t_symb.B = ; t_symb.C = ; t_symb.D = ; end</v>
      </c>
      <c r="W78" s="1" t="str">
        <f t="shared" si="11"/>
        <v>3'b110: begin t_symb.A = ;  t_symb.B = ; t_symb.C = ; t_symb.D = ; end</v>
      </c>
    </row>
    <row r="79" spans="1:23" x14ac:dyDescent="0.25">
      <c r="A79" s="1" t="s">
        <v>81</v>
      </c>
      <c r="B79" s="1" t="str" cm="1">
        <f t="array" ref="B79:J79">_xlfn.TEXTSPLIT(TRIM(A79), {" ",",",", "})</f>
        <v>Idle/CarrExt</v>
      </c>
      <c r="C79" s="1" t="str">
        <v>000000</v>
      </c>
      <c r="D79" s="1" t="str">
        <v>0</v>
      </c>
      <c r="E79" s="1" t="str">
        <v>0</v>
      </c>
      <c r="F79" s="1" t="str">
        <v>0</v>
      </c>
      <c r="G79" s="1" t="str">
        <v>0</v>
      </c>
      <c r="H79" s="1" t="str">
        <v>-</v>
      </c>
      <c r="I79" s="1" t="str">
        <v>-</v>
      </c>
      <c r="J79" s="1" t="str">
        <v>-</v>
      </c>
      <c r="K79" s="1"/>
      <c r="L79" s="1"/>
      <c r="M79" s="1"/>
      <c r="N79" s="1"/>
      <c r="O79" s="1"/>
      <c r="P79" s="1"/>
      <c r="Q79" s="1"/>
      <c r="R79" s="1"/>
      <c r="S79" s="1"/>
      <c r="T79" s="1" t="str">
        <f>"6'b" &amp; $C79 &amp; ": begin t_symb.A = " &amp; D79 &amp;";  t_symb.B = " &amp; E79 &amp; "; t_symb.C = "&amp; F79 &amp; "; t_symb.D = " &amp; G79 &amp;"; end"</f>
        <v>6'b000000: begin t_symb.A = 0;  t_symb.B = 0; t_symb.C = 0; t_symb.D = 0; end</v>
      </c>
      <c r="U79" s="1"/>
      <c r="V79" s="1"/>
      <c r="W79" s="1"/>
    </row>
    <row r="80" spans="1:23" x14ac:dyDescent="0.25">
      <c r="A80" s="1" t="s">
        <v>82</v>
      </c>
      <c r="B80" s="1" t="str" cm="1">
        <f t="array" ref="B80:J80">_xlfn.TEXTSPLIT(TRIM(A80), {" ",",",", "})</f>
        <v>Idle/CarrExt</v>
      </c>
      <c r="C80" s="1" t="str">
        <v>000001</v>
      </c>
      <c r="D80" s="1" t="str">
        <v>-2</v>
      </c>
      <c r="E80" s="1" t="str">
        <v>0</v>
      </c>
      <c r="F80" s="1" t="str">
        <v>0</v>
      </c>
      <c r="G80" s="1" t="str">
        <v>0</v>
      </c>
      <c r="H80" s="1" t="str">
        <v>-</v>
      </c>
      <c r="I80" s="1" t="str">
        <v>-</v>
      </c>
      <c r="J80" s="1" t="str">
        <v>-</v>
      </c>
      <c r="K80" s="1"/>
      <c r="L80" s="1"/>
      <c r="M80" s="1"/>
      <c r="N80" s="1"/>
      <c r="O80" s="1"/>
      <c r="P80" s="1"/>
      <c r="Q80" s="1"/>
      <c r="R80" s="1"/>
      <c r="S80" s="1"/>
      <c r="T80" s="1" t="str">
        <f>"6'b" &amp; $C80 &amp; ": begin t_symb.A = " &amp; D80 &amp;";  t_symb.B = " &amp; E80 &amp; "; t_symb.C = "&amp; F80 &amp; "; t_symb.D = " &amp; G80 &amp;"; end"</f>
        <v>6'b000001: begin t_symb.A = -2;  t_symb.B = 0; t_symb.C = 0; t_symb.D = 0; end</v>
      </c>
      <c r="U80" s="1"/>
      <c r="V80" s="1"/>
      <c r="W80" s="1"/>
    </row>
    <row r="81" spans="1:23" x14ac:dyDescent="0.25">
      <c r="A81" s="1" t="s">
        <v>83</v>
      </c>
      <c r="B81" s="1" t="str" cm="1">
        <f t="array" ref="B81:J81">_xlfn.TEXTSPLIT(TRIM(A81), {" ",",",", "})</f>
        <v>Idle/CarrExt</v>
      </c>
      <c r="C81" s="1" t="str">
        <v>000010</v>
      </c>
      <c r="D81" s="1" t="str">
        <v>0</v>
      </c>
      <c r="E81" s="1" t="str">
        <v>-2</v>
      </c>
      <c r="F81" s="1" t="str">
        <v>0</v>
      </c>
      <c r="G81" s="1" t="str">
        <v>0</v>
      </c>
      <c r="H81" s="1" t="str">
        <v>-</v>
      </c>
      <c r="I81" s="1" t="str">
        <v>-</v>
      </c>
      <c r="J81" s="1" t="str">
        <v>-</v>
      </c>
      <c r="K81" s="1"/>
      <c r="L81" s="1"/>
      <c r="M81" s="1"/>
      <c r="N81" s="1"/>
      <c r="O81" s="1"/>
      <c r="P81" s="1"/>
      <c r="Q81" s="1"/>
      <c r="R81" s="1"/>
      <c r="S81" s="1"/>
      <c r="T81" s="1" t="str">
        <f>"6'b" &amp; $C81 &amp; ": begin t_symb.A = " &amp; D81 &amp;";  t_symb.B = " &amp; E81 &amp; "; t_symb.C = "&amp; F81 &amp; "; t_symb.D = " &amp; G81 &amp;"; end"</f>
        <v>6'b000010: begin t_symb.A = 0;  t_symb.B = -2; t_symb.C = 0; t_symb.D = 0; end</v>
      </c>
      <c r="U81" s="1"/>
      <c r="V81" s="1"/>
      <c r="W81" s="1"/>
    </row>
    <row r="82" spans="1:23" x14ac:dyDescent="0.25">
      <c r="A82" s="1" t="s">
        <v>84</v>
      </c>
      <c r="B82" s="1" t="str" cm="1">
        <f t="array" ref="B82:J82">_xlfn.TEXTSPLIT(TRIM(A82), {" ",",",", "})</f>
        <v>Idle/CarrExt</v>
      </c>
      <c r="C82" s="1" t="str">
        <v>000011</v>
      </c>
      <c r="D82" s="1" t="str">
        <v>-2</v>
      </c>
      <c r="E82" s="1" t="str">
        <v>-2</v>
      </c>
      <c r="F82" s="1" t="str">
        <v>0</v>
      </c>
      <c r="G82" s="1" t="str">
        <v>0</v>
      </c>
      <c r="H82" s="1" t="str">
        <v>-</v>
      </c>
      <c r="I82" s="1" t="str">
        <v>-</v>
      </c>
      <c r="J82" s="1" t="str">
        <v>-</v>
      </c>
      <c r="K82" s="1"/>
      <c r="L82" s="1"/>
      <c r="M82" s="1"/>
      <c r="N82" s="1"/>
      <c r="O82" s="1"/>
      <c r="P82" s="1"/>
      <c r="Q82" s="1"/>
      <c r="R82" s="1"/>
      <c r="S82" s="1"/>
      <c r="T82" s="1" t="str">
        <f t="shared" ref="T82:T94" si="12">"6'b" &amp; $C82 &amp; ": begin t_symb.A = " &amp; D82 &amp;";  t_symb.B = " &amp; E82 &amp; "; t_symb.C = "&amp; F82 &amp; "; t_symb.D = " &amp; G82 &amp;"; end"</f>
        <v>6'b000011: begin t_symb.A = -2;  t_symb.B = -2; t_symb.C = 0; t_symb.D = 0; end</v>
      </c>
      <c r="U82" s="1"/>
      <c r="V82" s="1"/>
      <c r="W82" s="1"/>
    </row>
    <row r="83" spans="1:23" x14ac:dyDescent="0.25">
      <c r="A83" s="1" t="s">
        <v>85</v>
      </c>
      <c r="B83" s="1" t="str" cm="1">
        <f t="array" ref="B83:J83">_xlfn.TEXTSPLIT(TRIM(A83), {" ",",",", "})</f>
        <v>Idle/CarrExt</v>
      </c>
      <c r="C83" s="1" t="str">
        <v>000100</v>
      </c>
      <c r="D83" s="1" t="str">
        <v>0</v>
      </c>
      <c r="E83" s="1" t="str">
        <v>0</v>
      </c>
      <c r="F83" s="1" t="str">
        <v>-2</v>
      </c>
      <c r="G83" s="1" t="str">
        <v>0</v>
      </c>
      <c r="H83" s="1" t="str">
        <v>-</v>
      </c>
      <c r="I83" s="1" t="str">
        <v>-</v>
      </c>
      <c r="J83" s="1" t="str">
        <v>-</v>
      </c>
      <c r="K83" s="1"/>
      <c r="L83" s="1"/>
      <c r="M83" s="1"/>
      <c r="N83" s="1"/>
      <c r="O83" s="1"/>
      <c r="P83" s="1"/>
      <c r="Q83" s="1"/>
      <c r="R83" s="1"/>
      <c r="S83" s="1"/>
      <c r="T83" s="1" t="str">
        <f t="shared" si="12"/>
        <v>6'b000100: begin t_symb.A = 0;  t_symb.B = 0; t_symb.C = -2; t_symb.D = 0; end</v>
      </c>
      <c r="U83" s="1"/>
      <c r="V83" s="1"/>
      <c r="W83" s="1"/>
    </row>
    <row r="84" spans="1:23" x14ac:dyDescent="0.25">
      <c r="A84" s="1" t="s">
        <v>86</v>
      </c>
      <c r="B84" s="1" t="str" cm="1">
        <f t="array" ref="B84:J84">_xlfn.TEXTSPLIT(TRIM(A84), {" ",",",", "})</f>
        <v>Idle/CarrExt</v>
      </c>
      <c r="C84" s="1" t="str">
        <v>000101</v>
      </c>
      <c r="D84" s="1" t="str">
        <v>-2</v>
      </c>
      <c r="E84" s="1" t="str">
        <v>0</v>
      </c>
      <c r="F84" s="1" t="str">
        <v>-2</v>
      </c>
      <c r="G84" s="1" t="str">
        <v>0</v>
      </c>
      <c r="H84" s="1" t="str">
        <v>-</v>
      </c>
      <c r="I84" s="1" t="str">
        <v>-</v>
      </c>
      <c r="J84" s="1" t="str">
        <v>-</v>
      </c>
      <c r="K84" s="1"/>
      <c r="L84" s="1"/>
      <c r="M84" s="1"/>
      <c r="N84" s="1"/>
      <c r="O84" s="1"/>
      <c r="P84" s="1"/>
      <c r="Q84" s="1"/>
      <c r="R84" s="1"/>
      <c r="S84" s="1"/>
      <c r="T84" s="1" t="str">
        <f>"6'b" &amp; $C84 &amp; ": begin t_symb.A = " &amp; D84 &amp;";  t_symb.B = " &amp; E84 &amp; "; t_symb.C = "&amp; F84 &amp; "; t_symb.D = " &amp; G84 &amp;"; end"</f>
        <v>6'b000101: begin t_symb.A = -2;  t_symb.B = 0; t_symb.C = -2; t_symb.D = 0; end</v>
      </c>
      <c r="U84" s="1"/>
      <c r="V84" s="1"/>
      <c r="W84" s="1"/>
    </row>
    <row r="85" spans="1:23" x14ac:dyDescent="0.25">
      <c r="A85" s="1" t="s">
        <v>87</v>
      </c>
      <c r="B85" s="1" t="str" cm="1">
        <f t="array" ref="B85:J85">_xlfn.TEXTSPLIT(TRIM(A85), {" ",",",", "})</f>
        <v>Idle/CarrExt</v>
      </c>
      <c r="C85" s="1" t="str">
        <v>000110</v>
      </c>
      <c r="D85" s="1" t="str">
        <v>0</v>
      </c>
      <c r="E85" s="1" t="str">
        <v>-2</v>
      </c>
      <c r="F85" s="1" t="str">
        <v>-2</v>
      </c>
      <c r="G85" s="1" t="str">
        <v>0</v>
      </c>
      <c r="H85" s="1" t="str">
        <v>-</v>
      </c>
      <c r="I85" s="1" t="str">
        <v>-</v>
      </c>
      <c r="J85" s="1" t="str">
        <v>-</v>
      </c>
      <c r="K85" s="1"/>
      <c r="L85" s="1"/>
      <c r="M85" s="1"/>
      <c r="N85" s="1"/>
      <c r="O85" s="1"/>
      <c r="P85" s="1"/>
      <c r="Q85" s="1"/>
      <c r="R85" s="1"/>
      <c r="S85" s="1"/>
      <c r="T85" s="1" t="str">
        <f t="shared" si="12"/>
        <v>6'b000110: begin t_symb.A = 0;  t_symb.B = -2; t_symb.C = -2; t_symb.D = 0; end</v>
      </c>
      <c r="U85" s="1"/>
      <c r="V85" s="1"/>
      <c r="W85" s="1"/>
    </row>
    <row r="86" spans="1:23" x14ac:dyDescent="0.25">
      <c r="A86" s="1" t="s">
        <v>88</v>
      </c>
      <c r="B86" s="1" t="str" cm="1">
        <f t="array" ref="B86:J86">_xlfn.TEXTSPLIT(TRIM(A86), {" ",",",", "})</f>
        <v>Idle/CarrExt</v>
      </c>
      <c r="C86" s="1" t="str">
        <v>000111</v>
      </c>
      <c r="D86" s="1" t="str">
        <v>-2</v>
      </c>
      <c r="E86" s="1" t="str">
        <v>-2</v>
      </c>
      <c r="F86" s="1" t="str">
        <v>-2</v>
      </c>
      <c r="G86" s="1" t="str">
        <v>0</v>
      </c>
      <c r="H86" s="1" t="str">
        <v>-</v>
      </c>
      <c r="I86" s="1" t="str">
        <v>-</v>
      </c>
      <c r="J86" s="1" t="str">
        <v>-</v>
      </c>
      <c r="K86" s="1"/>
      <c r="L86" s="1"/>
      <c r="M86" s="1"/>
      <c r="N86" s="1"/>
      <c r="O86" s="1"/>
      <c r="P86" s="1"/>
      <c r="Q86" s="1"/>
      <c r="R86" s="1"/>
      <c r="S86" s="1"/>
      <c r="T86" s="1" t="str">
        <f t="shared" si="12"/>
        <v>6'b000111: begin t_symb.A = -2;  t_symb.B = -2; t_symb.C = -2; t_symb.D = 0; end</v>
      </c>
      <c r="U86" s="1"/>
      <c r="V86" s="1"/>
      <c r="W86" s="1"/>
    </row>
    <row r="87" spans="1:23" x14ac:dyDescent="0.25">
      <c r="A87" s="1" t="s">
        <v>89</v>
      </c>
      <c r="B87" s="1" t="str" cm="1">
        <f t="array" ref="B87:J87">_xlfn.TEXTSPLIT(TRIM(A87), {" ",",",", "})</f>
        <v>Idle/CarrExt</v>
      </c>
      <c r="C87" s="1" t="str">
        <v>001000</v>
      </c>
      <c r="D87" s="1" t="str">
        <v>0</v>
      </c>
      <c r="E87" s="1" t="str">
        <v>0</v>
      </c>
      <c r="F87" s="1" t="str">
        <v>0</v>
      </c>
      <c r="G87" s="1" t="str">
        <v>-2</v>
      </c>
      <c r="H87" s="1" t="str">
        <v>-</v>
      </c>
      <c r="I87" s="1" t="str">
        <v>-</v>
      </c>
      <c r="J87" s="1" t="str">
        <v>-</v>
      </c>
      <c r="K87" s="1"/>
      <c r="L87" s="1"/>
      <c r="M87" s="1"/>
      <c r="N87" s="1"/>
      <c r="O87" s="1"/>
      <c r="P87" s="1"/>
      <c r="Q87" s="1"/>
      <c r="R87" s="1"/>
      <c r="S87" s="1"/>
      <c r="T87" s="1" t="str">
        <f t="shared" si="12"/>
        <v>6'b001000: begin t_symb.A = 0;  t_symb.B = 0; t_symb.C = 0; t_symb.D = -2; end</v>
      </c>
      <c r="U87" s="1"/>
      <c r="V87" s="1"/>
      <c r="W87" s="1"/>
    </row>
    <row r="88" spans="1:23" x14ac:dyDescent="0.25">
      <c r="A88" s="1" t="s">
        <v>90</v>
      </c>
      <c r="B88" s="1" t="str" cm="1">
        <f t="array" ref="B88:J88">_xlfn.TEXTSPLIT(TRIM(A88), {" ",",",", "})</f>
        <v>Idle/CarrExt</v>
      </c>
      <c r="C88" s="1" t="str">
        <v>001001</v>
      </c>
      <c r="D88" s="1" t="str">
        <v>-2</v>
      </c>
      <c r="E88" s="1" t="str">
        <v>0</v>
      </c>
      <c r="F88" s="1" t="str">
        <v>0</v>
      </c>
      <c r="G88" s="1" t="str">
        <v>-2</v>
      </c>
      <c r="H88" s="1" t="str">
        <v>-</v>
      </c>
      <c r="I88" s="1" t="str">
        <v>-</v>
      </c>
      <c r="J88" s="1" t="str">
        <v>-</v>
      </c>
      <c r="K88" s="1"/>
      <c r="L88" s="1"/>
      <c r="M88" s="1"/>
      <c r="N88" s="1"/>
      <c r="O88" s="1"/>
      <c r="P88" s="1"/>
      <c r="Q88" s="1"/>
      <c r="R88" s="1"/>
      <c r="S88" s="1"/>
      <c r="T88" s="1" t="str">
        <f t="shared" si="12"/>
        <v>6'b001001: begin t_symb.A = -2;  t_symb.B = 0; t_symb.C = 0; t_symb.D = -2; end</v>
      </c>
      <c r="U88" s="1"/>
      <c r="V88" s="1"/>
      <c r="W88" s="1"/>
    </row>
    <row r="89" spans="1:23" x14ac:dyDescent="0.25">
      <c r="A89" s="1" t="s">
        <v>91</v>
      </c>
      <c r="B89" s="1" t="str" cm="1">
        <f t="array" ref="B89:J89">_xlfn.TEXTSPLIT(TRIM(A89), {" ",",",", "})</f>
        <v>Idle/CarrExt</v>
      </c>
      <c r="C89" s="1" t="str">
        <v>001010</v>
      </c>
      <c r="D89" s="1" t="str">
        <v>0</v>
      </c>
      <c r="E89" s="1" t="str">
        <v>-2</v>
      </c>
      <c r="F89" s="1" t="str">
        <v>0</v>
      </c>
      <c r="G89" s="1" t="str">
        <v>-2</v>
      </c>
      <c r="H89" s="1" t="str">
        <v>-</v>
      </c>
      <c r="I89" s="1" t="str">
        <v>-</v>
      </c>
      <c r="J89" s="1" t="str">
        <v>-</v>
      </c>
      <c r="K89" s="1"/>
      <c r="L89" s="1"/>
      <c r="M89" s="1"/>
      <c r="N89" s="1"/>
      <c r="O89" s="1"/>
      <c r="P89" s="1"/>
      <c r="Q89" s="1"/>
      <c r="R89" s="1"/>
      <c r="S89" s="1"/>
      <c r="T89" s="1" t="str">
        <f t="shared" si="12"/>
        <v>6'b001010: begin t_symb.A = 0;  t_symb.B = -2; t_symb.C = 0; t_symb.D = -2; end</v>
      </c>
      <c r="U89" s="1"/>
      <c r="V89" s="1"/>
      <c r="W89" s="1"/>
    </row>
    <row r="90" spans="1:23" x14ac:dyDescent="0.25">
      <c r="A90" s="1" t="s">
        <v>92</v>
      </c>
      <c r="B90" s="1" t="str" cm="1">
        <f t="array" ref="B90:J90">_xlfn.TEXTSPLIT(TRIM(A90), {" ",",",", "})</f>
        <v>Idle/CarrExt</v>
      </c>
      <c r="C90" s="1" t="str">
        <v>001011</v>
      </c>
      <c r="D90" s="1" t="str">
        <v>-2</v>
      </c>
      <c r="E90" s="1" t="str">
        <v>-2</v>
      </c>
      <c r="F90" s="1" t="str">
        <v>0</v>
      </c>
      <c r="G90" s="1" t="str">
        <v>-2</v>
      </c>
      <c r="H90" s="1" t="str">
        <v>-</v>
      </c>
      <c r="I90" s="1" t="str">
        <v>-</v>
      </c>
      <c r="J90" s="1" t="str">
        <v>-</v>
      </c>
      <c r="K90" s="1"/>
      <c r="L90" s="1"/>
      <c r="M90" s="1"/>
      <c r="N90" s="1"/>
      <c r="O90" s="1"/>
      <c r="P90" s="1"/>
      <c r="Q90" s="1"/>
      <c r="R90" s="1"/>
      <c r="S90" s="1"/>
      <c r="T90" s="1" t="str">
        <f t="shared" si="12"/>
        <v>6'b001011: begin t_symb.A = -2;  t_symb.B = -2; t_symb.C = 0; t_symb.D = -2; end</v>
      </c>
      <c r="U90" s="1"/>
      <c r="V90" s="1"/>
      <c r="W90" s="1"/>
    </row>
    <row r="91" spans="1:23" x14ac:dyDescent="0.25">
      <c r="A91" s="1" t="s">
        <v>93</v>
      </c>
      <c r="B91" s="1" t="str" cm="1">
        <f t="array" ref="B91:J91">_xlfn.TEXTSPLIT(TRIM(A91), {" ",",",", "})</f>
        <v>Idle/CarrExt</v>
      </c>
      <c r="C91" s="1" t="str">
        <v>001100</v>
      </c>
      <c r="D91" s="1" t="str">
        <v>0</v>
      </c>
      <c r="E91" s="1" t="str">
        <v>0</v>
      </c>
      <c r="F91" s="1" t="str">
        <v>-2</v>
      </c>
      <c r="G91" s="1" t="str">
        <v>-2</v>
      </c>
      <c r="H91" s="1" t="str">
        <v>-</v>
      </c>
      <c r="I91" s="1" t="str">
        <v>-</v>
      </c>
      <c r="J91" s="1" t="str">
        <v>-</v>
      </c>
      <c r="K91" s="1"/>
      <c r="L91" s="1"/>
      <c r="M91" s="1"/>
      <c r="N91" s="1"/>
      <c r="O91" s="1"/>
      <c r="P91" s="1"/>
      <c r="Q91" s="1"/>
      <c r="R91" s="1"/>
      <c r="S91" s="1"/>
      <c r="T91" s="1" t="str">
        <f t="shared" si="12"/>
        <v>6'b001100: begin t_symb.A = 0;  t_symb.B = 0; t_symb.C = -2; t_symb.D = -2; end</v>
      </c>
      <c r="U91" s="1"/>
      <c r="V91" s="1"/>
      <c r="W91" s="1"/>
    </row>
    <row r="92" spans="1:23" x14ac:dyDescent="0.25">
      <c r="A92" s="1" t="s">
        <v>94</v>
      </c>
      <c r="B92" s="1" t="str" cm="1">
        <f t="array" ref="B92:J92">_xlfn.TEXTSPLIT(TRIM(A92), {" ",",",", "})</f>
        <v>Idle/CarrExt</v>
      </c>
      <c r="C92" s="1" t="str">
        <v>001101</v>
      </c>
      <c r="D92" s="1" t="str">
        <v>-2</v>
      </c>
      <c r="E92" s="1" t="str">
        <v>0</v>
      </c>
      <c r="F92" s="1" t="str">
        <v>-2</v>
      </c>
      <c r="G92" s="1" t="str">
        <v>-2</v>
      </c>
      <c r="H92" s="1" t="str">
        <v>-</v>
      </c>
      <c r="I92" s="1" t="str">
        <v>-</v>
      </c>
      <c r="J92" s="1" t="str">
        <v>-</v>
      </c>
      <c r="K92" s="1"/>
      <c r="L92" s="1"/>
      <c r="M92" s="1"/>
      <c r="N92" s="1"/>
      <c r="O92" s="1"/>
      <c r="P92" s="1"/>
      <c r="Q92" s="1"/>
      <c r="R92" s="1"/>
      <c r="S92" s="1"/>
      <c r="T92" s="1" t="str">
        <f t="shared" si="12"/>
        <v>6'b001101: begin t_symb.A = -2;  t_symb.B = 0; t_symb.C = -2; t_symb.D = -2; end</v>
      </c>
      <c r="U92" s="1"/>
      <c r="V92" s="1"/>
      <c r="W92" s="1"/>
    </row>
    <row r="93" spans="1:23" x14ac:dyDescent="0.25">
      <c r="A93" s="1" t="s">
        <v>95</v>
      </c>
      <c r="B93" s="1" t="str" cm="1">
        <f t="array" ref="B93:J93">_xlfn.TEXTSPLIT(TRIM(A93), {" ",",",", "})</f>
        <v>Idle/CarrExt</v>
      </c>
      <c r="C93" s="1" t="str">
        <v>001110</v>
      </c>
      <c r="D93" s="1" t="str">
        <v>0</v>
      </c>
      <c r="E93" s="1" t="str">
        <v>-2</v>
      </c>
      <c r="F93" s="1" t="str">
        <v>-2</v>
      </c>
      <c r="G93" s="1" t="str">
        <v>-2</v>
      </c>
      <c r="H93" s="1" t="str">
        <v>-</v>
      </c>
      <c r="I93" s="1" t="str">
        <v>-</v>
      </c>
      <c r="J93" s="1" t="str">
        <v>-</v>
      </c>
      <c r="K93" s="1"/>
      <c r="L93" s="1"/>
      <c r="M93" s="1"/>
      <c r="N93" s="1"/>
      <c r="O93" s="1"/>
      <c r="P93" s="1"/>
      <c r="Q93" s="1"/>
      <c r="R93" s="1"/>
      <c r="S93" s="1"/>
      <c r="T93" s="1" t="str">
        <f t="shared" si="12"/>
        <v>6'b001110: begin t_symb.A = 0;  t_symb.B = -2; t_symb.C = -2; t_symb.D = -2; end</v>
      </c>
      <c r="U93" s="1"/>
      <c r="V93" s="1"/>
      <c r="W93" s="1"/>
    </row>
    <row r="94" spans="1:23" x14ac:dyDescent="0.25">
      <c r="A94" s="1" t="s">
        <v>96</v>
      </c>
      <c r="B94" s="1" t="str" cm="1">
        <f t="array" ref="B94:J94">_xlfn.TEXTSPLIT(TRIM(A94), {" ",",",", "})</f>
        <v>Idle/CarrExt</v>
      </c>
      <c r="C94" s="1" t="str">
        <v>001111</v>
      </c>
      <c r="D94" s="1" t="str">
        <v>-2</v>
      </c>
      <c r="E94" s="1" t="str">
        <v>-2</v>
      </c>
      <c r="F94" s="1" t="str">
        <v>-2</v>
      </c>
      <c r="G94" s="1" t="str">
        <v>-2</v>
      </c>
      <c r="H94" s="1" t="str">
        <v>-</v>
      </c>
      <c r="I94" s="1" t="str">
        <v>-</v>
      </c>
      <c r="J94" s="1" t="str">
        <v>-</v>
      </c>
      <c r="K94" s="1"/>
      <c r="L94" s="1"/>
      <c r="M94" s="1"/>
      <c r="N94" s="1"/>
      <c r="O94" s="1"/>
      <c r="P94" s="1"/>
      <c r="Q94" s="1"/>
      <c r="R94" s="1"/>
      <c r="S94" s="1"/>
      <c r="T94" s="1" t="str">
        <f t="shared" si="12"/>
        <v>6'b001111: begin t_symb.A = -2;  t_symb.B = -2; t_symb.C = -2; t_symb.D = -2; end</v>
      </c>
      <c r="U94" s="1"/>
      <c r="V94" s="1"/>
      <c r="W94" s="1"/>
    </row>
  </sheetData>
  <mergeCells count="7">
    <mergeCell ref="D2:S2"/>
    <mergeCell ref="T3:W3"/>
    <mergeCell ref="A1:W1"/>
    <mergeCell ref="D3:G3"/>
    <mergeCell ref="H3:K3"/>
    <mergeCell ref="L3:O3"/>
    <mergeCell ref="P3:S3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F5DE5-3406-41BB-895C-E559A7E47047}">
  <dimension ref="A1:W71"/>
  <sheetViews>
    <sheetView zoomScale="70" zoomScaleNormal="70" workbookViewId="0">
      <selection activeCell="T28" sqref="T28"/>
    </sheetView>
  </sheetViews>
  <sheetFormatPr defaultRowHeight="15" x14ac:dyDescent="0.25"/>
  <cols>
    <col min="1" max="1" width="63" bestFit="1" customWidth="1"/>
    <col min="2" max="2" width="12.140625" bestFit="1" customWidth="1"/>
    <col min="3" max="3" width="8.42578125" bestFit="1" customWidth="1"/>
    <col min="4" max="19" width="3" bestFit="1" customWidth="1"/>
    <col min="20" max="21" width="66.42578125" bestFit="1" customWidth="1"/>
    <col min="22" max="22" width="68.5703125" bestFit="1" customWidth="1"/>
    <col min="23" max="23" width="73.42578125" bestFit="1" customWidth="1"/>
    <col min="24" max="24" width="3" bestFit="1" customWidth="1"/>
  </cols>
  <sheetData>
    <row r="1" spans="1:23" s="4" customFormat="1" x14ac:dyDescent="0.2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s="4" customFormat="1" x14ac:dyDescent="0.25">
      <c r="D2" s="7" t="s">
        <v>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23" s="5" customFormat="1" x14ac:dyDescent="0.25">
      <c r="A3" s="3" t="s">
        <v>100</v>
      </c>
      <c r="B3" s="3" t="s">
        <v>97</v>
      </c>
      <c r="C3" s="3" t="s">
        <v>98</v>
      </c>
      <c r="D3" s="8" t="s">
        <v>169</v>
      </c>
      <c r="E3" s="8"/>
      <c r="F3" s="8"/>
      <c r="G3" s="8"/>
      <c r="H3" s="8" t="s">
        <v>170</v>
      </c>
      <c r="I3" s="8"/>
      <c r="J3" s="8"/>
      <c r="K3" s="8"/>
      <c r="L3" s="8" t="s">
        <v>171</v>
      </c>
      <c r="M3" s="8"/>
      <c r="N3" s="8"/>
      <c r="O3" s="8"/>
      <c r="P3" s="8" t="s">
        <v>172</v>
      </c>
      <c r="Q3" s="8"/>
      <c r="R3" s="8"/>
      <c r="S3" s="8"/>
      <c r="T3" s="7" t="s">
        <v>99</v>
      </c>
      <c r="U3" s="7"/>
      <c r="V3" s="7"/>
      <c r="W3" s="7"/>
    </row>
    <row r="4" spans="1:23" x14ac:dyDescent="0.25">
      <c r="A4" s="2" t="s">
        <v>101</v>
      </c>
      <c r="B4" s="2" t="str" cm="1">
        <f t="array" ref="B4:S4">_xlfn.TEXTSPLIT(TRIM(A4), {" ",",",", "})</f>
        <v>Normal</v>
      </c>
      <c r="C4" s="2" t="str">
        <v>000000</v>
      </c>
      <c r="D4" s="2" t="str">
        <v>0</v>
      </c>
      <c r="E4" s="2" t="str">
        <v>0</v>
      </c>
      <c r="F4" s="2" t="str">
        <v>0</v>
      </c>
      <c r="G4" s="2" t="str">
        <v>+1</v>
      </c>
      <c r="H4" s="2" t="str">
        <v>0</v>
      </c>
      <c r="I4" s="2" t="str">
        <v>0</v>
      </c>
      <c r="J4" s="2" t="str">
        <v>+1</v>
      </c>
      <c r="K4" s="2" t="str">
        <v>0</v>
      </c>
      <c r="L4" s="2" t="str">
        <v>0</v>
      </c>
      <c r="M4" s="2" t="str">
        <v>+1</v>
      </c>
      <c r="N4" s="2" t="str">
        <v>+1</v>
      </c>
      <c r="O4" s="2" t="str">
        <v>+1</v>
      </c>
      <c r="P4" s="2" t="str">
        <v>0</v>
      </c>
      <c r="Q4" s="2" t="str">
        <v>+1</v>
      </c>
      <c r="R4" s="2" t="str">
        <v>0</v>
      </c>
      <c r="S4" s="2" t="str">
        <v>0</v>
      </c>
      <c r="T4" s="2" t="str">
        <f>"6'b" &amp; $C4 &amp; ": begin t_symb.A = " &amp; D4 &amp;";  t_symb.B = " &amp; E4 &amp; "; t_symb.C = "&amp; F4 &amp; "; t_symb.D = " &amp; G4 &amp;"; end"</f>
        <v>6'b000000: begin t_symb.A = 0;  t_symb.B = 0; t_symb.C = 0; t_symb.D = +1; end</v>
      </c>
      <c r="U4" s="2" t="str">
        <f>"6'b" &amp; $C4 &amp; ": begin t_symb.A = " &amp; H4 &amp;";  t_symb.B = " &amp; I4 &amp; "; t_symb.C = "&amp; J4 &amp; "; t_symb.D = " &amp; K4 &amp;"; end"</f>
        <v>6'b000000: begin t_symb.A = 0;  t_symb.B = 0; t_symb.C = +1; t_symb.D = 0; end</v>
      </c>
      <c r="V4" s="2" t="str">
        <f>"6'b" &amp; $C4 &amp; ": begin t_symb.A = " &amp; L4 &amp;";  t_symb.B = " &amp; M4 &amp; "; t_symb.C = "&amp; N4 &amp; "; t_symb.D = " &amp; O4 &amp;"; end"</f>
        <v>6'b000000: begin t_symb.A = 0;  t_symb.B = +1; t_symb.C = +1; t_symb.D = +1; end</v>
      </c>
      <c r="W4" s="2" t="str">
        <f>"6'b" &amp; $C4 &amp; ": begin t_symb.A = " &amp; P4 &amp;";  t_symb.B = " &amp; Q4 &amp; "; t_symb.C = "&amp; R4 &amp; "; t_symb.D = " &amp; S4 &amp;"; end"</f>
        <v>6'b000000: begin t_symb.A = 0;  t_symb.B = +1; t_symb.C = 0; t_symb.D = 0; end</v>
      </c>
    </row>
    <row r="5" spans="1:23" x14ac:dyDescent="0.25">
      <c r="A5" s="1" t="s">
        <v>102</v>
      </c>
      <c r="B5" s="1" t="str" cm="1">
        <f t="array" ref="B5:S5">_xlfn.TEXTSPLIT(TRIM(A5), {" ",",",", "})</f>
        <v>Normal</v>
      </c>
      <c r="C5" s="1" t="str">
        <v>000001</v>
      </c>
      <c r="D5" s="1" t="str">
        <v>-2</v>
      </c>
      <c r="E5" s="1" t="str">
        <v>0</v>
      </c>
      <c r="F5" s="1" t="str">
        <v>0</v>
      </c>
      <c r="G5" s="1" t="str">
        <v>+1</v>
      </c>
      <c r="H5" s="1" t="str">
        <v>-2</v>
      </c>
      <c r="I5" s="1" t="str">
        <v>0</v>
      </c>
      <c r="J5" s="1" t="str">
        <v>+1</v>
      </c>
      <c r="K5" s="1" t="str">
        <v>0</v>
      </c>
      <c r="L5" s="1" t="str">
        <v>-2</v>
      </c>
      <c r="M5" s="1" t="str">
        <v>+1</v>
      </c>
      <c r="N5" s="1" t="str">
        <v>+1</v>
      </c>
      <c r="O5" s="1" t="str">
        <v>+1</v>
      </c>
      <c r="P5" s="1" t="str">
        <v>-2</v>
      </c>
      <c r="Q5" s="1" t="str">
        <v>+1</v>
      </c>
      <c r="R5" s="1" t="str">
        <v>0</v>
      </c>
      <c r="S5" s="1" t="str">
        <v>0</v>
      </c>
      <c r="T5" s="2" t="str">
        <f t="shared" ref="T5:T67" si="0">"6'b" &amp; $C5 &amp; ": begin t_symb.A = " &amp; D5 &amp;";  t_symb.B = " &amp; E5 &amp; "; t_symb.C = "&amp; F5 &amp; "; t_symb.D = " &amp; G5 &amp;"; end"</f>
        <v>6'b000001: begin t_symb.A = -2;  t_symb.B = 0; t_symb.C = 0; t_symb.D = +1; end</v>
      </c>
      <c r="U5" s="2" t="str">
        <f t="shared" ref="U5:U67" si="1">"6'b" &amp; $C5 &amp; ": begin t_symb.A = " &amp; H5 &amp;";  t_symb.B = " &amp; I5 &amp; "; t_symb.C = "&amp; J5 &amp; "; t_symb.D = " &amp; K5 &amp;"; end"</f>
        <v>6'b000001: begin t_symb.A = -2;  t_symb.B = 0; t_symb.C = +1; t_symb.D = 0; end</v>
      </c>
      <c r="V5" s="2" t="str">
        <f t="shared" ref="V5:V67" si="2">"6'b" &amp; $C5 &amp; ": begin t_symb.A = " &amp; L5 &amp;";  t_symb.B = " &amp; M5 &amp; "; t_symb.C = "&amp; N5 &amp; "; t_symb.D = " &amp; O5 &amp;"; end"</f>
        <v>6'b000001: begin t_symb.A = -2;  t_symb.B = +1; t_symb.C = +1; t_symb.D = +1; end</v>
      </c>
      <c r="W5" s="2" t="str">
        <f t="shared" ref="W5:W67" si="3">"6'b" &amp; $C5 &amp; ": begin t_symb.A = " &amp; P5 &amp;";  t_symb.B = " &amp; Q5 &amp; "; t_symb.C = "&amp; R5 &amp; "; t_symb.D = " &amp; S5 &amp;"; end"</f>
        <v>6'b000001: begin t_symb.A = -2;  t_symb.B = +1; t_symb.C = 0; t_symb.D = 0; end</v>
      </c>
    </row>
    <row r="6" spans="1:23" x14ac:dyDescent="0.25">
      <c r="A6" s="1" t="s">
        <v>103</v>
      </c>
      <c r="B6" s="1" t="str" cm="1">
        <f t="array" ref="B6:S6">_xlfn.TEXTSPLIT(TRIM(A6), {" ",",",", "})</f>
        <v>Normal</v>
      </c>
      <c r="C6" s="1" t="str">
        <v>000010</v>
      </c>
      <c r="D6" s="1" t="str">
        <v>0</v>
      </c>
      <c r="E6" s="1" t="str">
        <v>-2</v>
      </c>
      <c r="F6" s="1" t="str">
        <v>0</v>
      </c>
      <c r="G6" s="1" t="str">
        <v>+1</v>
      </c>
      <c r="H6" s="1" t="str">
        <v>0</v>
      </c>
      <c r="I6" s="1" t="str">
        <v>-2</v>
      </c>
      <c r="J6" s="1" t="str">
        <v>+1</v>
      </c>
      <c r="K6" s="1" t="str">
        <v>0</v>
      </c>
      <c r="L6" s="1" t="str">
        <v>0</v>
      </c>
      <c r="M6" s="1" t="str">
        <v>-1</v>
      </c>
      <c r="N6" s="1" t="str">
        <v>+1</v>
      </c>
      <c r="O6" s="1" t="str">
        <v>+1</v>
      </c>
      <c r="P6" s="1" t="str">
        <v>0</v>
      </c>
      <c r="Q6" s="1" t="str">
        <v>-1</v>
      </c>
      <c r="R6" s="1" t="str">
        <v>0</v>
      </c>
      <c r="S6" s="1" t="str">
        <v>0</v>
      </c>
      <c r="T6" s="2" t="str">
        <f t="shared" si="0"/>
        <v>6'b000010: begin t_symb.A = 0;  t_symb.B = -2; t_symb.C = 0; t_symb.D = +1; end</v>
      </c>
      <c r="U6" s="2" t="str">
        <f t="shared" si="1"/>
        <v>6'b000010: begin t_symb.A = 0;  t_symb.B = -2; t_symb.C = +1; t_symb.D = 0; end</v>
      </c>
      <c r="V6" s="2" t="str">
        <f t="shared" si="2"/>
        <v>6'b000010: begin t_symb.A = 0;  t_symb.B = -1; t_symb.C = +1; t_symb.D = +1; end</v>
      </c>
      <c r="W6" s="2" t="str">
        <f t="shared" si="3"/>
        <v>6'b000010: begin t_symb.A = 0;  t_symb.B = -1; t_symb.C = 0; t_symb.D = 0; end</v>
      </c>
    </row>
    <row r="7" spans="1:23" x14ac:dyDescent="0.25">
      <c r="A7" s="1" t="s">
        <v>104</v>
      </c>
      <c r="B7" s="1" t="str" cm="1">
        <f t="array" ref="B7:S7">_xlfn.TEXTSPLIT(TRIM(A7), {" ",",",", "})</f>
        <v>Normal</v>
      </c>
      <c r="C7" s="1" t="str">
        <v>000011</v>
      </c>
      <c r="D7" s="1" t="str">
        <v>-2</v>
      </c>
      <c r="E7" s="1" t="str">
        <v>-2</v>
      </c>
      <c r="F7" s="1" t="str">
        <v>0</v>
      </c>
      <c r="G7" s="1" t="str">
        <v>+1</v>
      </c>
      <c r="H7" s="1" t="str">
        <v>-2</v>
      </c>
      <c r="I7" s="1" t="str">
        <v>-2</v>
      </c>
      <c r="J7" s="1" t="str">
        <v>+1</v>
      </c>
      <c r="K7" s="1" t="str">
        <v>0</v>
      </c>
      <c r="L7" s="1" t="str">
        <v>-2</v>
      </c>
      <c r="M7" s="1" t="str">
        <v>-1</v>
      </c>
      <c r="N7" s="1" t="str">
        <v>+1</v>
      </c>
      <c r="O7" s="1" t="str">
        <v>+1</v>
      </c>
      <c r="P7" s="1" t="str">
        <v>-2</v>
      </c>
      <c r="Q7" s="1" t="str">
        <v>-1</v>
      </c>
      <c r="R7" s="1" t="str">
        <v>0</v>
      </c>
      <c r="S7" s="1" t="str">
        <v>0</v>
      </c>
      <c r="T7" s="2" t="str">
        <f t="shared" si="0"/>
        <v>6'b000011: begin t_symb.A = -2;  t_symb.B = -2; t_symb.C = 0; t_symb.D = +1; end</v>
      </c>
      <c r="U7" s="2" t="str">
        <f t="shared" si="1"/>
        <v>6'b000011: begin t_symb.A = -2;  t_symb.B = -2; t_symb.C = +1; t_symb.D = 0; end</v>
      </c>
      <c r="V7" s="2" t="str">
        <f t="shared" si="2"/>
        <v>6'b000011: begin t_symb.A = -2;  t_symb.B = -1; t_symb.C = +1; t_symb.D = +1; end</v>
      </c>
      <c r="W7" s="2" t="str">
        <f t="shared" si="3"/>
        <v>6'b000011: begin t_symb.A = -2;  t_symb.B = -1; t_symb.C = 0; t_symb.D = 0; end</v>
      </c>
    </row>
    <row r="8" spans="1:23" x14ac:dyDescent="0.25">
      <c r="A8" s="1" t="s">
        <v>105</v>
      </c>
      <c r="B8" s="1" t="str" cm="1">
        <f t="array" ref="B8:S8">_xlfn.TEXTSPLIT(TRIM(A8), {" ",",",", "})</f>
        <v>Normal</v>
      </c>
      <c r="C8" s="1" t="str">
        <v>000100</v>
      </c>
      <c r="D8" s="1" t="str">
        <v>0</v>
      </c>
      <c r="E8" s="1" t="str">
        <v>0</v>
      </c>
      <c r="F8" s="1" t="str">
        <v>-2</v>
      </c>
      <c r="G8" s="1" t="str">
        <v>+1</v>
      </c>
      <c r="H8" s="1" t="str">
        <v>0</v>
      </c>
      <c r="I8" s="1" t="str">
        <v>0</v>
      </c>
      <c r="J8" s="1" t="str">
        <v>-1</v>
      </c>
      <c r="K8" s="1" t="str">
        <v>0</v>
      </c>
      <c r="L8" s="1" t="str">
        <v>0</v>
      </c>
      <c r="M8" s="1" t="str">
        <v>+1</v>
      </c>
      <c r="N8" s="1" t="str">
        <v>-1</v>
      </c>
      <c r="O8" s="1" t="str">
        <v>+1</v>
      </c>
      <c r="P8" s="1" t="str">
        <v>0</v>
      </c>
      <c r="Q8" s="1" t="str">
        <v>+1</v>
      </c>
      <c r="R8" s="1" t="str">
        <v>-2</v>
      </c>
      <c r="S8" s="1" t="str">
        <v>0</v>
      </c>
      <c r="T8" s="2" t="str">
        <f t="shared" si="0"/>
        <v>6'b000100: begin t_symb.A = 0;  t_symb.B = 0; t_symb.C = -2; t_symb.D = +1; end</v>
      </c>
      <c r="U8" s="2" t="str">
        <f t="shared" si="1"/>
        <v>6'b000100: begin t_symb.A = 0;  t_symb.B = 0; t_symb.C = -1; t_symb.D = 0; end</v>
      </c>
      <c r="V8" s="2" t="str">
        <f t="shared" si="2"/>
        <v>6'b000100: begin t_symb.A = 0;  t_symb.B = +1; t_symb.C = -1; t_symb.D = +1; end</v>
      </c>
      <c r="W8" s="2" t="str">
        <f t="shared" si="3"/>
        <v>6'b000100: begin t_symb.A = 0;  t_symb.B = +1; t_symb.C = -2; t_symb.D = 0; end</v>
      </c>
    </row>
    <row r="9" spans="1:23" x14ac:dyDescent="0.25">
      <c r="A9" s="1" t="s">
        <v>106</v>
      </c>
      <c r="B9" s="1" t="str" cm="1">
        <f t="array" ref="B9:S9">_xlfn.TEXTSPLIT(TRIM(A9), {" ",",",", "})</f>
        <v>Normal</v>
      </c>
      <c r="C9" s="1" t="str">
        <v>000101</v>
      </c>
      <c r="D9" s="1" t="str">
        <v>-2</v>
      </c>
      <c r="E9" s="1" t="str">
        <v>0</v>
      </c>
      <c r="F9" s="1" t="str">
        <v>-2</v>
      </c>
      <c r="G9" s="1" t="str">
        <v>+1</v>
      </c>
      <c r="H9" s="1" t="str">
        <v>-2</v>
      </c>
      <c r="I9" s="1" t="str">
        <v>0</v>
      </c>
      <c r="J9" s="1" t="str">
        <v>-1</v>
      </c>
      <c r="K9" s="1" t="str">
        <v>0</v>
      </c>
      <c r="L9" s="1" t="str">
        <v>-2</v>
      </c>
      <c r="M9" s="1" t="str">
        <v>+1</v>
      </c>
      <c r="N9" s="1" t="str">
        <v>-1</v>
      </c>
      <c r="O9" s="1" t="str">
        <v>+1</v>
      </c>
      <c r="P9" s="1" t="str">
        <v>-2</v>
      </c>
      <c r="Q9" s="1" t="str">
        <v>+1</v>
      </c>
      <c r="R9" s="1" t="str">
        <v>-2</v>
      </c>
      <c r="S9" s="1" t="str">
        <v>0</v>
      </c>
      <c r="T9" s="2" t="str">
        <f t="shared" si="0"/>
        <v>6'b000101: begin t_symb.A = -2;  t_symb.B = 0; t_symb.C = -2; t_symb.D = +1; end</v>
      </c>
      <c r="U9" s="2" t="str">
        <f t="shared" si="1"/>
        <v>6'b000101: begin t_symb.A = -2;  t_symb.B = 0; t_symb.C = -1; t_symb.D = 0; end</v>
      </c>
      <c r="V9" s="2" t="str">
        <f t="shared" si="2"/>
        <v>6'b000101: begin t_symb.A = -2;  t_symb.B = +1; t_symb.C = -1; t_symb.D = +1; end</v>
      </c>
      <c r="W9" s="2" t="str">
        <f t="shared" si="3"/>
        <v>6'b000101: begin t_symb.A = -2;  t_symb.B = +1; t_symb.C = -2; t_symb.D = 0; end</v>
      </c>
    </row>
    <row r="10" spans="1:23" x14ac:dyDescent="0.25">
      <c r="A10" s="1" t="s">
        <v>107</v>
      </c>
      <c r="B10" s="1" t="str" cm="1">
        <f t="array" ref="B10:S10">_xlfn.TEXTSPLIT(TRIM(A10), {" ",",",", "})</f>
        <v>Normal</v>
      </c>
      <c r="C10" s="1" t="str">
        <v>000110</v>
      </c>
      <c r="D10" s="1" t="str">
        <v>0</v>
      </c>
      <c r="E10" s="1" t="str">
        <v>-2</v>
      </c>
      <c r="F10" s="1" t="str">
        <v>-2</v>
      </c>
      <c r="G10" s="1" t="str">
        <v>+1</v>
      </c>
      <c r="H10" s="1" t="str">
        <v>0</v>
      </c>
      <c r="I10" s="1" t="str">
        <v>-2</v>
      </c>
      <c r="J10" s="1" t="str">
        <v>-1</v>
      </c>
      <c r="K10" s="1" t="str">
        <v>0</v>
      </c>
      <c r="L10" s="1" t="str">
        <v>0</v>
      </c>
      <c r="M10" s="1" t="str">
        <v>-1</v>
      </c>
      <c r="N10" s="1" t="str">
        <v>-1</v>
      </c>
      <c r="O10" s="1" t="str">
        <v>+1</v>
      </c>
      <c r="P10" s="1" t="str">
        <v>0</v>
      </c>
      <c r="Q10" s="1" t="str">
        <v>-1</v>
      </c>
      <c r="R10" s="1" t="str">
        <v>-2</v>
      </c>
      <c r="S10" s="1" t="str">
        <v>0</v>
      </c>
      <c r="T10" s="2" t="str">
        <f t="shared" si="0"/>
        <v>6'b000110: begin t_symb.A = 0;  t_symb.B = -2; t_symb.C = -2; t_symb.D = +1; end</v>
      </c>
      <c r="U10" s="2" t="str">
        <f t="shared" si="1"/>
        <v>6'b000110: begin t_symb.A = 0;  t_symb.B = -2; t_symb.C = -1; t_symb.D = 0; end</v>
      </c>
      <c r="V10" s="2" t="str">
        <f t="shared" si="2"/>
        <v>6'b000110: begin t_symb.A = 0;  t_symb.B = -1; t_symb.C = -1; t_symb.D = +1; end</v>
      </c>
      <c r="W10" s="2" t="str">
        <f t="shared" si="3"/>
        <v>6'b000110: begin t_symb.A = 0;  t_symb.B = -1; t_symb.C = -2; t_symb.D = 0; end</v>
      </c>
    </row>
    <row r="11" spans="1:23" x14ac:dyDescent="0.25">
      <c r="A11" s="1" t="s">
        <v>108</v>
      </c>
      <c r="B11" s="1" t="str" cm="1">
        <f t="array" ref="B11:S11">_xlfn.TEXTSPLIT(TRIM(A11), {" ",",",", "})</f>
        <v>Normal</v>
      </c>
      <c r="C11" s="1" t="str">
        <v>000111</v>
      </c>
      <c r="D11" s="1" t="str">
        <v>-2</v>
      </c>
      <c r="E11" s="1" t="str">
        <v>-2</v>
      </c>
      <c r="F11" s="1" t="str">
        <v>-2</v>
      </c>
      <c r="G11" s="1" t="str">
        <v>+1</v>
      </c>
      <c r="H11" s="1" t="str">
        <v>-2</v>
      </c>
      <c r="I11" s="1" t="str">
        <v>-2</v>
      </c>
      <c r="J11" s="1" t="str">
        <v>-1</v>
      </c>
      <c r="K11" s="1" t="str">
        <v>0</v>
      </c>
      <c r="L11" s="1" t="str">
        <v>-2</v>
      </c>
      <c r="M11" s="1" t="str">
        <v>-1</v>
      </c>
      <c r="N11" s="1" t="str">
        <v>-1</v>
      </c>
      <c r="O11" s="1" t="str">
        <v>+1</v>
      </c>
      <c r="P11" s="1" t="str">
        <v>-2</v>
      </c>
      <c r="Q11" s="1" t="str">
        <v>-1</v>
      </c>
      <c r="R11" s="1" t="str">
        <v>-2</v>
      </c>
      <c r="S11" s="1" t="str">
        <v>0</v>
      </c>
      <c r="T11" s="2" t="str">
        <f t="shared" si="0"/>
        <v>6'b000111: begin t_symb.A = -2;  t_symb.B = -2; t_symb.C = -2; t_symb.D = +1; end</v>
      </c>
      <c r="U11" s="2" t="str">
        <f t="shared" si="1"/>
        <v>6'b000111: begin t_symb.A = -2;  t_symb.B = -2; t_symb.C = -1; t_symb.D = 0; end</v>
      </c>
      <c r="V11" s="2" t="str">
        <f t="shared" si="2"/>
        <v>6'b000111: begin t_symb.A = -2;  t_symb.B = -1; t_symb.C = -1; t_symb.D = +1; end</v>
      </c>
      <c r="W11" s="2" t="str">
        <f t="shared" si="3"/>
        <v>6'b000111: begin t_symb.A = -2;  t_symb.B = -1; t_symb.C = -2; t_symb.D = 0; end</v>
      </c>
    </row>
    <row r="12" spans="1:23" x14ac:dyDescent="0.25">
      <c r="A12" s="1" t="s">
        <v>109</v>
      </c>
      <c r="B12" s="1" t="str" cm="1">
        <f t="array" ref="B12:S12">_xlfn.TEXTSPLIT(TRIM(A12), {" ",",",", "})</f>
        <v>Normal</v>
      </c>
      <c r="C12" s="1" t="str">
        <v>001000</v>
      </c>
      <c r="D12" s="1" t="str">
        <v>0</v>
      </c>
      <c r="E12" s="1" t="str">
        <v>0</v>
      </c>
      <c r="F12" s="1" t="str">
        <v>0</v>
      </c>
      <c r="G12" s="1" t="str">
        <v>-1</v>
      </c>
      <c r="H12" s="1" t="str">
        <v>0</v>
      </c>
      <c r="I12" s="1" t="str">
        <v>0</v>
      </c>
      <c r="J12" s="1" t="str">
        <v>+1</v>
      </c>
      <c r="K12" s="1" t="str">
        <v>-2</v>
      </c>
      <c r="L12" s="1" t="str">
        <v>0</v>
      </c>
      <c r="M12" s="1" t="str">
        <v>+1</v>
      </c>
      <c r="N12" s="1" t="str">
        <v>+1</v>
      </c>
      <c r="O12" s="1" t="str">
        <v>-1</v>
      </c>
      <c r="P12" s="1" t="str">
        <v>0</v>
      </c>
      <c r="Q12" s="1" t="str">
        <v>+1</v>
      </c>
      <c r="R12" s="1" t="str">
        <v>0</v>
      </c>
      <c r="S12" s="1" t="str">
        <v>-2</v>
      </c>
      <c r="T12" s="2" t="str">
        <f t="shared" si="0"/>
        <v>6'b001000: begin t_symb.A = 0;  t_symb.B = 0; t_symb.C = 0; t_symb.D = -1; end</v>
      </c>
      <c r="U12" s="2" t="str">
        <f t="shared" si="1"/>
        <v>6'b001000: begin t_symb.A = 0;  t_symb.B = 0; t_symb.C = +1; t_symb.D = -2; end</v>
      </c>
      <c r="V12" s="2" t="str">
        <f t="shared" si="2"/>
        <v>6'b001000: begin t_symb.A = 0;  t_symb.B = +1; t_symb.C = +1; t_symb.D = -1; end</v>
      </c>
      <c r="W12" s="2" t="str">
        <f t="shared" si="3"/>
        <v>6'b001000: begin t_symb.A = 0;  t_symb.B = +1; t_symb.C = 0; t_symb.D = -2; end</v>
      </c>
    </row>
    <row r="13" spans="1:23" x14ac:dyDescent="0.25">
      <c r="A13" s="1" t="s">
        <v>110</v>
      </c>
      <c r="B13" s="1" t="str" cm="1">
        <f t="array" ref="B13:S13">_xlfn.TEXTSPLIT(TRIM(A13), {" ",",",", "})</f>
        <v>Normal</v>
      </c>
      <c r="C13" s="1" t="str">
        <v>001001</v>
      </c>
      <c r="D13" s="1" t="str">
        <v>-2</v>
      </c>
      <c r="E13" s="1" t="str">
        <v>0</v>
      </c>
      <c r="F13" s="1" t="str">
        <v>0</v>
      </c>
      <c r="G13" s="1" t="str">
        <v>-1</v>
      </c>
      <c r="H13" s="1" t="str">
        <v>-2</v>
      </c>
      <c r="I13" s="1" t="str">
        <v>0</v>
      </c>
      <c r="J13" s="1" t="str">
        <v>+1</v>
      </c>
      <c r="K13" s="1" t="str">
        <v>-2</v>
      </c>
      <c r="L13" s="1" t="str">
        <v>-2</v>
      </c>
      <c r="M13" s="1" t="str">
        <v>+1</v>
      </c>
      <c r="N13" s="1" t="str">
        <v>+1</v>
      </c>
      <c r="O13" s="1" t="str">
        <v>-1</v>
      </c>
      <c r="P13" s="1" t="str">
        <v>-2</v>
      </c>
      <c r="Q13" s="1" t="str">
        <v>+1</v>
      </c>
      <c r="R13" s="1" t="str">
        <v>0</v>
      </c>
      <c r="S13" s="1" t="str">
        <v>-2</v>
      </c>
      <c r="T13" s="2" t="str">
        <f t="shared" si="0"/>
        <v>6'b001001: begin t_symb.A = -2;  t_symb.B = 0; t_symb.C = 0; t_symb.D = -1; end</v>
      </c>
      <c r="U13" s="2" t="str">
        <f t="shared" si="1"/>
        <v>6'b001001: begin t_symb.A = -2;  t_symb.B = 0; t_symb.C = +1; t_symb.D = -2; end</v>
      </c>
      <c r="V13" s="2" t="str">
        <f t="shared" si="2"/>
        <v>6'b001001: begin t_symb.A = -2;  t_symb.B = +1; t_symb.C = +1; t_symb.D = -1; end</v>
      </c>
      <c r="W13" s="2" t="str">
        <f t="shared" si="3"/>
        <v>6'b001001: begin t_symb.A = -2;  t_symb.B = +1; t_symb.C = 0; t_symb.D = -2; end</v>
      </c>
    </row>
    <row r="14" spans="1:23" x14ac:dyDescent="0.25">
      <c r="A14" s="1" t="s">
        <v>111</v>
      </c>
      <c r="B14" s="1" t="str" cm="1">
        <f t="array" ref="B14:S14">_xlfn.TEXTSPLIT(TRIM(A14), {" ",",",", "})</f>
        <v>Normal</v>
      </c>
      <c r="C14" s="1" t="str">
        <v>001010</v>
      </c>
      <c r="D14" s="1" t="str">
        <v>0</v>
      </c>
      <c r="E14" s="1" t="str">
        <v>-2</v>
      </c>
      <c r="F14" s="1" t="str">
        <v>0</v>
      </c>
      <c r="G14" s="1" t="str">
        <v>-1</v>
      </c>
      <c r="H14" s="1" t="str">
        <v>0</v>
      </c>
      <c r="I14" s="1" t="str">
        <v>-2</v>
      </c>
      <c r="J14" s="1" t="str">
        <v>+1</v>
      </c>
      <c r="K14" s="1" t="str">
        <v>-2</v>
      </c>
      <c r="L14" s="1" t="str">
        <v>0</v>
      </c>
      <c r="M14" s="1" t="str">
        <v>-1</v>
      </c>
      <c r="N14" s="1" t="str">
        <v>+1</v>
      </c>
      <c r="O14" s="1" t="str">
        <v>-1</v>
      </c>
      <c r="P14" s="1" t="str">
        <v>0</v>
      </c>
      <c r="Q14" s="1" t="str">
        <v>-1</v>
      </c>
      <c r="R14" s="1" t="str">
        <v>0</v>
      </c>
      <c r="S14" s="1" t="str">
        <v>-2</v>
      </c>
      <c r="T14" s="2" t="str">
        <f t="shared" si="0"/>
        <v>6'b001010: begin t_symb.A = 0;  t_symb.B = -2; t_symb.C = 0; t_symb.D = -1; end</v>
      </c>
      <c r="U14" s="2" t="str">
        <f t="shared" si="1"/>
        <v>6'b001010: begin t_symb.A = 0;  t_symb.B = -2; t_symb.C = +1; t_symb.D = -2; end</v>
      </c>
      <c r="V14" s="2" t="str">
        <f t="shared" si="2"/>
        <v>6'b001010: begin t_symb.A = 0;  t_symb.B = -1; t_symb.C = +1; t_symb.D = -1; end</v>
      </c>
      <c r="W14" s="2" t="str">
        <f t="shared" si="3"/>
        <v>6'b001010: begin t_symb.A = 0;  t_symb.B = -1; t_symb.C = 0; t_symb.D = -2; end</v>
      </c>
    </row>
    <row r="15" spans="1:23" x14ac:dyDescent="0.25">
      <c r="A15" s="1" t="s">
        <v>112</v>
      </c>
      <c r="B15" s="1" t="str" cm="1">
        <f t="array" ref="B15:S15">_xlfn.TEXTSPLIT(TRIM(A15), {" ",",",", "})</f>
        <v>Normal</v>
      </c>
      <c r="C15" s="1" t="str">
        <v>001011</v>
      </c>
      <c r="D15" s="1" t="str">
        <v>-2</v>
      </c>
      <c r="E15" s="1" t="str">
        <v>-2</v>
      </c>
      <c r="F15" s="1" t="str">
        <v>0</v>
      </c>
      <c r="G15" s="1" t="str">
        <v>-1</v>
      </c>
      <c r="H15" s="1" t="str">
        <v>-2</v>
      </c>
      <c r="I15" s="1" t="str">
        <v>-2</v>
      </c>
      <c r="J15" s="1" t="str">
        <v>+1</v>
      </c>
      <c r="K15" s="1" t="str">
        <v>-2</v>
      </c>
      <c r="L15" s="1" t="str">
        <v>-2</v>
      </c>
      <c r="M15" s="1" t="str">
        <v>-1</v>
      </c>
      <c r="N15" s="1" t="str">
        <v>+1</v>
      </c>
      <c r="O15" s="1" t="str">
        <v>-1</v>
      </c>
      <c r="P15" s="1" t="str">
        <v>-2</v>
      </c>
      <c r="Q15" s="1" t="str">
        <v>-1</v>
      </c>
      <c r="R15" s="1" t="str">
        <v>0</v>
      </c>
      <c r="S15" s="1" t="str">
        <v>-2</v>
      </c>
      <c r="T15" s="2" t="str">
        <f t="shared" si="0"/>
        <v>6'b001011: begin t_symb.A = -2;  t_symb.B = -2; t_symb.C = 0; t_symb.D = -1; end</v>
      </c>
      <c r="U15" s="2" t="str">
        <f t="shared" si="1"/>
        <v>6'b001011: begin t_symb.A = -2;  t_symb.B = -2; t_symb.C = +1; t_symb.D = -2; end</v>
      </c>
      <c r="V15" s="2" t="str">
        <f t="shared" si="2"/>
        <v>6'b001011: begin t_symb.A = -2;  t_symb.B = -1; t_symb.C = +1; t_symb.D = -1; end</v>
      </c>
      <c r="W15" s="2" t="str">
        <f t="shared" si="3"/>
        <v>6'b001011: begin t_symb.A = -2;  t_symb.B = -1; t_symb.C = 0; t_symb.D = -2; end</v>
      </c>
    </row>
    <row r="16" spans="1:23" x14ac:dyDescent="0.25">
      <c r="A16" s="1" t="s">
        <v>113</v>
      </c>
      <c r="B16" s="1" t="str" cm="1">
        <f t="array" ref="B16:S16">_xlfn.TEXTSPLIT(TRIM(A16), {" ",",",", "})</f>
        <v>Normal</v>
      </c>
      <c r="C16" s="1" t="str">
        <v>001100</v>
      </c>
      <c r="D16" s="1" t="str">
        <v>0</v>
      </c>
      <c r="E16" s="1" t="str">
        <v>0</v>
      </c>
      <c r="F16" s="1" t="str">
        <v>-2</v>
      </c>
      <c r="G16" s="1" t="str">
        <v>-1</v>
      </c>
      <c r="H16" s="1" t="str">
        <v>0</v>
      </c>
      <c r="I16" s="1" t="str">
        <v>0</v>
      </c>
      <c r="J16" s="1" t="str">
        <v>-1</v>
      </c>
      <c r="K16" s="1" t="str">
        <v>-2</v>
      </c>
      <c r="L16" s="1" t="str">
        <v>0</v>
      </c>
      <c r="M16" s="1" t="str">
        <v>+1</v>
      </c>
      <c r="N16" s="1" t="str">
        <v>-1</v>
      </c>
      <c r="O16" s="1" t="str">
        <v>-1</v>
      </c>
      <c r="P16" s="1" t="str">
        <v>0</v>
      </c>
      <c r="Q16" s="1" t="str">
        <v>+1</v>
      </c>
      <c r="R16" s="1" t="str">
        <v>-2</v>
      </c>
      <c r="S16" s="1" t="str">
        <v>-2</v>
      </c>
      <c r="T16" s="2" t="str">
        <f t="shared" si="0"/>
        <v>6'b001100: begin t_symb.A = 0;  t_symb.B = 0; t_symb.C = -2; t_symb.D = -1; end</v>
      </c>
      <c r="U16" s="2" t="str">
        <f t="shared" si="1"/>
        <v>6'b001100: begin t_symb.A = 0;  t_symb.B = 0; t_symb.C = -1; t_symb.D = -2; end</v>
      </c>
      <c r="V16" s="2" t="str">
        <f t="shared" si="2"/>
        <v>6'b001100: begin t_symb.A = 0;  t_symb.B = +1; t_symb.C = -1; t_symb.D = -1; end</v>
      </c>
      <c r="W16" s="2" t="str">
        <f t="shared" si="3"/>
        <v>6'b001100: begin t_symb.A = 0;  t_symb.B = +1; t_symb.C = -2; t_symb.D = -2; end</v>
      </c>
    </row>
    <row r="17" spans="1:23" x14ac:dyDescent="0.25">
      <c r="A17" s="1" t="s">
        <v>114</v>
      </c>
      <c r="B17" s="1" t="str" cm="1">
        <f t="array" ref="B17:S17">_xlfn.TEXTSPLIT(TRIM(A17), {" ",",",", "})</f>
        <v>Normal</v>
      </c>
      <c r="C17" s="1" t="str">
        <v>001101</v>
      </c>
      <c r="D17" s="1" t="str">
        <v>-2</v>
      </c>
      <c r="E17" s="1" t="str">
        <v>0</v>
      </c>
      <c r="F17" s="1" t="str">
        <v>-2</v>
      </c>
      <c r="G17" s="1" t="str">
        <v>-1</v>
      </c>
      <c r="H17" s="1" t="str">
        <v>-2</v>
      </c>
      <c r="I17" s="1" t="str">
        <v>0</v>
      </c>
      <c r="J17" s="1" t="str">
        <v>-1</v>
      </c>
      <c r="K17" s="1" t="str">
        <v>-2</v>
      </c>
      <c r="L17" s="1" t="str">
        <v>-2</v>
      </c>
      <c r="M17" s="1" t="str">
        <v>+1</v>
      </c>
      <c r="N17" s="1" t="str">
        <v>-1</v>
      </c>
      <c r="O17" s="1" t="str">
        <v>-1</v>
      </c>
      <c r="P17" s="1" t="str">
        <v>-2</v>
      </c>
      <c r="Q17" s="1" t="str">
        <v>+1</v>
      </c>
      <c r="R17" s="1" t="str">
        <v>-2</v>
      </c>
      <c r="S17" s="1" t="str">
        <v>-2</v>
      </c>
      <c r="T17" s="2" t="str">
        <f t="shared" si="0"/>
        <v>6'b001101: begin t_symb.A = -2;  t_symb.B = 0; t_symb.C = -2; t_symb.D = -1; end</v>
      </c>
      <c r="U17" s="2" t="str">
        <f t="shared" si="1"/>
        <v>6'b001101: begin t_symb.A = -2;  t_symb.B = 0; t_symb.C = -1; t_symb.D = -2; end</v>
      </c>
      <c r="V17" s="2" t="str">
        <f t="shared" si="2"/>
        <v>6'b001101: begin t_symb.A = -2;  t_symb.B = +1; t_symb.C = -1; t_symb.D = -1; end</v>
      </c>
      <c r="W17" s="2" t="str">
        <f t="shared" si="3"/>
        <v>6'b001101: begin t_symb.A = -2;  t_symb.B = +1; t_symb.C = -2; t_symb.D = -2; end</v>
      </c>
    </row>
    <row r="18" spans="1:23" x14ac:dyDescent="0.25">
      <c r="A18" s="1" t="s">
        <v>115</v>
      </c>
      <c r="B18" s="1" t="str" cm="1">
        <f t="array" ref="B18:S18">_xlfn.TEXTSPLIT(TRIM(A18), {" ",",",", "})</f>
        <v>Normal</v>
      </c>
      <c r="C18" s="1" t="str">
        <v>001110</v>
      </c>
      <c r="D18" s="1" t="str">
        <v>0</v>
      </c>
      <c r="E18" s="1" t="str">
        <v>-2</v>
      </c>
      <c r="F18" s="1" t="str">
        <v>-2</v>
      </c>
      <c r="G18" s="1" t="str">
        <v>-1</v>
      </c>
      <c r="H18" s="1" t="str">
        <v>0</v>
      </c>
      <c r="I18" s="1" t="str">
        <v>-2</v>
      </c>
      <c r="J18" s="1" t="str">
        <v>-1</v>
      </c>
      <c r="K18" s="1" t="str">
        <v>-2</v>
      </c>
      <c r="L18" s="1" t="str">
        <v>0</v>
      </c>
      <c r="M18" s="1" t="str">
        <v>-1</v>
      </c>
      <c r="N18" s="1" t="str">
        <v>-1</v>
      </c>
      <c r="O18" s="1" t="str">
        <v>-1</v>
      </c>
      <c r="P18" s="1" t="str">
        <v>0</v>
      </c>
      <c r="Q18" s="1" t="str">
        <v>-1</v>
      </c>
      <c r="R18" s="1" t="str">
        <v>-2</v>
      </c>
      <c r="S18" s="1" t="str">
        <v>-2</v>
      </c>
      <c r="T18" s="2" t="str">
        <f t="shared" si="0"/>
        <v>6'b001110: begin t_symb.A = 0;  t_symb.B = -2; t_symb.C = -2; t_symb.D = -1; end</v>
      </c>
      <c r="U18" s="2" t="str">
        <f t="shared" si="1"/>
        <v>6'b001110: begin t_symb.A = 0;  t_symb.B = -2; t_symb.C = -1; t_symb.D = -2; end</v>
      </c>
      <c r="V18" s="2" t="str">
        <f t="shared" si="2"/>
        <v>6'b001110: begin t_symb.A = 0;  t_symb.B = -1; t_symb.C = -1; t_symb.D = -1; end</v>
      </c>
      <c r="W18" s="2" t="str">
        <f t="shared" si="3"/>
        <v>6'b001110: begin t_symb.A = 0;  t_symb.B = -1; t_symb.C = -2; t_symb.D = -2; end</v>
      </c>
    </row>
    <row r="19" spans="1:23" x14ac:dyDescent="0.25">
      <c r="A19" s="1" t="s">
        <v>116</v>
      </c>
      <c r="B19" s="1" t="str" cm="1">
        <f t="array" ref="B19:S19">_xlfn.TEXTSPLIT(TRIM(A19), {" ",",",", "})</f>
        <v>Normal</v>
      </c>
      <c r="C19" s="1" t="str">
        <v>001111</v>
      </c>
      <c r="D19" s="1" t="str">
        <v>-2</v>
      </c>
      <c r="E19" s="1" t="str">
        <v>-2</v>
      </c>
      <c r="F19" s="1" t="str">
        <v>-2</v>
      </c>
      <c r="G19" s="1" t="str">
        <v>-1</v>
      </c>
      <c r="H19" s="1" t="str">
        <v>-2</v>
      </c>
      <c r="I19" s="1" t="str">
        <v>-2</v>
      </c>
      <c r="J19" s="1" t="str">
        <v>-1</v>
      </c>
      <c r="K19" s="1" t="str">
        <v>-2</v>
      </c>
      <c r="L19" s="1" t="str">
        <v>-2</v>
      </c>
      <c r="M19" s="1" t="str">
        <v>-1</v>
      </c>
      <c r="N19" s="1" t="str">
        <v>-1</v>
      </c>
      <c r="O19" s="1" t="str">
        <v>-1</v>
      </c>
      <c r="P19" s="1" t="str">
        <v>-2</v>
      </c>
      <c r="Q19" s="1" t="str">
        <v>-1</v>
      </c>
      <c r="R19" s="1" t="str">
        <v>-2</v>
      </c>
      <c r="S19" s="1" t="str">
        <v>-2</v>
      </c>
      <c r="T19" s="2" t="str">
        <f t="shared" si="0"/>
        <v>6'b001111: begin t_symb.A = -2;  t_symb.B = -2; t_symb.C = -2; t_symb.D = -1; end</v>
      </c>
      <c r="U19" s="2" t="str">
        <f t="shared" si="1"/>
        <v>6'b001111: begin t_symb.A = -2;  t_symb.B = -2; t_symb.C = -1; t_symb.D = -2; end</v>
      </c>
      <c r="V19" s="2" t="str">
        <f t="shared" si="2"/>
        <v>6'b001111: begin t_symb.A = -2;  t_symb.B = -1; t_symb.C = -1; t_symb.D = -1; end</v>
      </c>
      <c r="W19" s="2" t="str">
        <f t="shared" si="3"/>
        <v>6'b001111: begin t_symb.A = -2;  t_symb.B = -1; t_symb.C = -2; t_symb.D = -2; end</v>
      </c>
    </row>
    <row r="20" spans="1:23" x14ac:dyDescent="0.25">
      <c r="A20" s="1" t="s">
        <v>117</v>
      </c>
      <c r="B20" s="1" t="str" cm="1">
        <f t="array" ref="B20:S20">_xlfn.TEXTSPLIT(TRIM(A20), {" ",",",", "})</f>
        <v>Normal</v>
      </c>
      <c r="C20" s="1" t="str">
        <v>010000</v>
      </c>
      <c r="D20" s="1" t="str">
        <v>+1</v>
      </c>
      <c r="E20" s="1" t="str">
        <v>+1</v>
      </c>
      <c r="F20" s="1" t="str">
        <v>+1</v>
      </c>
      <c r="G20" s="1" t="str">
        <v>0</v>
      </c>
      <c r="H20" s="1" t="str">
        <v>+1</v>
      </c>
      <c r="I20" s="1" t="str">
        <v>+1</v>
      </c>
      <c r="J20" s="1" t="str">
        <v>0</v>
      </c>
      <c r="K20" s="1" t="str">
        <v>+1</v>
      </c>
      <c r="L20" s="1" t="str">
        <v>+1</v>
      </c>
      <c r="M20" s="1" t="str">
        <v>0</v>
      </c>
      <c r="N20" s="1" t="str">
        <v>0</v>
      </c>
      <c r="O20" s="1" t="str">
        <v>0</v>
      </c>
      <c r="P20" s="1" t="str">
        <v>+1</v>
      </c>
      <c r="Q20" s="1" t="str">
        <v>0</v>
      </c>
      <c r="R20" s="1" t="str">
        <v>+1</v>
      </c>
      <c r="S20" s="1" t="str">
        <v>+1</v>
      </c>
      <c r="T20" s="2" t="str">
        <f t="shared" si="0"/>
        <v>6'b010000: begin t_symb.A = +1;  t_symb.B = +1; t_symb.C = +1; t_symb.D = 0; end</v>
      </c>
      <c r="U20" s="2" t="str">
        <f t="shared" si="1"/>
        <v>6'b010000: begin t_symb.A = +1;  t_symb.B = +1; t_symb.C = 0; t_symb.D = +1; end</v>
      </c>
      <c r="V20" s="2" t="str">
        <f t="shared" si="2"/>
        <v>6'b010000: begin t_symb.A = +1;  t_symb.B = 0; t_symb.C = 0; t_symb.D = 0; end</v>
      </c>
      <c r="W20" s="2" t="str">
        <f t="shared" si="3"/>
        <v>6'b010000: begin t_symb.A = +1;  t_symb.B = 0; t_symb.C = +1; t_symb.D = +1; end</v>
      </c>
    </row>
    <row r="21" spans="1:23" x14ac:dyDescent="0.25">
      <c r="A21" s="1" t="s">
        <v>118</v>
      </c>
      <c r="B21" s="1" t="str" cm="1">
        <f t="array" ref="B21:S21">_xlfn.TEXTSPLIT(TRIM(A21), {" ",",",", "})</f>
        <v>Normal</v>
      </c>
      <c r="C21" s="1" t="str">
        <v>010001</v>
      </c>
      <c r="D21" s="1" t="str">
        <v>-1</v>
      </c>
      <c r="E21" s="1" t="str">
        <v>+1</v>
      </c>
      <c r="F21" s="1" t="str">
        <v>+1</v>
      </c>
      <c r="G21" s="1" t="str">
        <v>0</v>
      </c>
      <c r="H21" s="1" t="str">
        <v>-1</v>
      </c>
      <c r="I21" s="1" t="str">
        <v>+1</v>
      </c>
      <c r="J21" s="1" t="str">
        <v>0</v>
      </c>
      <c r="K21" s="1" t="str">
        <v>+1</v>
      </c>
      <c r="L21" s="1" t="str">
        <v>-1</v>
      </c>
      <c r="M21" s="1" t="str">
        <v>0</v>
      </c>
      <c r="N21" s="1" t="str">
        <v>0</v>
      </c>
      <c r="O21" s="1" t="str">
        <v>0</v>
      </c>
      <c r="P21" s="1" t="str">
        <v>-1</v>
      </c>
      <c r="Q21" s="1" t="str">
        <v>0</v>
      </c>
      <c r="R21" s="1" t="str">
        <v>+1</v>
      </c>
      <c r="S21" s="1" t="str">
        <v>+1</v>
      </c>
      <c r="T21" s="2" t="str">
        <f t="shared" si="0"/>
        <v>6'b010001: begin t_symb.A = -1;  t_symb.B = +1; t_symb.C = +1; t_symb.D = 0; end</v>
      </c>
      <c r="U21" s="2" t="str">
        <f t="shared" si="1"/>
        <v>6'b010001: begin t_symb.A = -1;  t_symb.B = +1; t_symb.C = 0; t_symb.D = +1; end</v>
      </c>
      <c r="V21" s="2" t="str">
        <f t="shared" si="2"/>
        <v>6'b010001: begin t_symb.A = -1;  t_symb.B = 0; t_symb.C = 0; t_symb.D = 0; end</v>
      </c>
      <c r="W21" s="2" t="str">
        <f t="shared" si="3"/>
        <v>6'b010001: begin t_symb.A = -1;  t_symb.B = 0; t_symb.C = +1; t_symb.D = +1; end</v>
      </c>
    </row>
    <row r="22" spans="1:23" x14ac:dyDescent="0.25">
      <c r="A22" s="1" t="s">
        <v>119</v>
      </c>
      <c r="B22" s="1" t="str" cm="1">
        <f t="array" ref="B22:S22">_xlfn.TEXTSPLIT(TRIM(A22), {" ",",",", "})</f>
        <v>Normal</v>
      </c>
      <c r="C22" s="1" t="str">
        <v>010010</v>
      </c>
      <c r="D22" s="1" t="str">
        <v>+1</v>
      </c>
      <c r="E22" s="1" t="str">
        <v>-1</v>
      </c>
      <c r="F22" s="1" t="str">
        <v>+1</v>
      </c>
      <c r="G22" s="1" t="str">
        <v>0</v>
      </c>
      <c r="H22" s="1" t="str">
        <v>+1</v>
      </c>
      <c r="I22" s="1" t="str">
        <v>-1</v>
      </c>
      <c r="J22" s="1" t="str">
        <v>0</v>
      </c>
      <c r="K22" s="1" t="str">
        <v>+1</v>
      </c>
      <c r="L22" s="1" t="str">
        <v>+1</v>
      </c>
      <c r="M22" s="1" t="str">
        <v>-2</v>
      </c>
      <c r="N22" s="1" t="str">
        <v>0</v>
      </c>
      <c r="O22" s="1" t="str">
        <v>0</v>
      </c>
      <c r="P22" s="1" t="str">
        <v>+1</v>
      </c>
      <c r="Q22" s="1" t="str">
        <v>-2</v>
      </c>
      <c r="R22" s="1" t="str">
        <v>+1</v>
      </c>
      <c r="S22" s="1" t="str">
        <v>+1</v>
      </c>
      <c r="T22" s="2" t="str">
        <f t="shared" si="0"/>
        <v>6'b010010: begin t_symb.A = +1;  t_symb.B = -1; t_symb.C = +1; t_symb.D = 0; end</v>
      </c>
      <c r="U22" s="2" t="str">
        <f t="shared" si="1"/>
        <v>6'b010010: begin t_symb.A = +1;  t_symb.B = -1; t_symb.C = 0; t_symb.D = +1; end</v>
      </c>
      <c r="V22" s="2" t="str">
        <f t="shared" si="2"/>
        <v>6'b010010: begin t_symb.A = +1;  t_symb.B = -2; t_symb.C = 0; t_symb.D = 0; end</v>
      </c>
      <c r="W22" s="2" t="str">
        <f t="shared" si="3"/>
        <v>6'b010010: begin t_symb.A = +1;  t_symb.B = -2; t_symb.C = +1; t_symb.D = +1; end</v>
      </c>
    </row>
    <row r="23" spans="1:23" x14ac:dyDescent="0.25">
      <c r="A23" s="1" t="s">
        <v>120</v>
      </c>
      <c r="B23" s="1" t="str" cm="1">
        <f t="array" ref="B23:S23">_xlfn.TEXTSPLIT(TRIM(A23), {" ",",",", "})</f>
        <v>Normal</v>
      </c>
      <c r="C23" s="1" t="str">
        <v>010011</v>
      </c>
      <c r="D23" s="1" t="str">
        <v>-1</v>
      </c>
      <c r="E23" s="1" t="str">
        <v>-1</v>
      </c>
      <c r="F23" s="1" t="str">
        <v>+1</v>
      </c>
      <c r="G23" s="1" t="str">
        <v>0</v>
      </c>
      <c r="H23" s="1" t="str">
        <v>-1</v>
      </c>
      <c r="I23" s="1" t="str">
        <v>-1</v>
      </c>
      <c r="J23" s="1" t="str">
        <v>0</v>
      </c>
      <c r="K23" s="1" t="str">
        <v>+1</v>
      </c>
      <c r="L23" s="1" t="str">
        <v>-1</v>
      </c>
      <c r="M23" s="1" t="str">
        <v>-2</v>
      </c>
      <c r="N23" s="1" t="str">
        <v>0</v>
      </c>
      <c r="O23" s="1" t="str">
        <v>0</v>
      </c>
      <c r="P23" s="1" t="str">
        <v>-1</v>
      </c>
      <c r="Q23" s="1" t="str">
        <v>-2</v>
      </c>
      <c r="R23" s="1" t="str">
        <v>+1</v>
      </c>
      <c r="S23" s="1" t="str">
        <v>+1</v>
      </c>
      <c r="T23" s="2" t="str">
        <f t="shared" si="0"/>
        <v>6'b010011: begin t_symb.A = -1;  t_symb.B = -1; t_symb.C = +1; t_symb.D = 0; end</v>
      </c>
      <c r="U23" s="2" t="str">
        <f t="shared" si="1"/>
        <v>6'b010011: begin t_symb.A = -1;  t_symb.B = -1; t_symb.C = 0; t_symb.D = +1; end</v>
      </c>
      <c r="V23" s="2" t="str">
        <f t="shared" si="2"/>
        <v>6'b010011: begin t_symb.A = -1;  t_symb.B = -2; t_symb.C = 0; t_symb.D = 0; end</v>
      </c>
      <c r="W23" s="2" t="str">
        <f t="shared" si="3"/>
        <v>6'b010011: begin t_symb.A = -1;  t_symb.B = -2; t_symb.C = +1; t_symb.D = +1; end</v>
      </c>
    </row>
    <row r="24" spans="1:23" x14ac:dyDescent="0.25">
      <c r="A24" s="1" t="s">
        <v>121</v>
      </c>
      <c r="B24" s="1" t="str" cm="1">
        <f t="array" ref="B24:S24">_xlfn.TEXTSPLIT(TRIM(A24), {" ",",",", "})</f>
        <v>Normal</v>
      </c>
      <c r="C24" s="1" t="str">
        <v>010100</v>
      </c>
      <c r="D24" s="1" t="str">
        <v>+1</v>
      </c>
      <c r="E24" s="1" t="str">
        <v>+1</v>
      </c>
      <c r="F24" s="1" t="str">
        <v>-1</v>
      </c>
      <c r="G24" s="1" t="str">
        <v>0</v>
      </c>
      <c r="H24" s="1" t="str">
        <v>+1</v>
      </c>
      <c r="I24" s="1" t="str">
        <v>+1</v>
      </c>
      <c r="J24" s="1" t="str">
        <v>-2</v>
      </c>
      <c r="K24" s="1" t="str">
        <v>+1</v>
      </c>
      <c r="L24" s="1" t="str">
        <v>+1</v>
      </c>
      <c r="M24" s="1" t="str">
        <v>0</v>
      </c>
      <c r="N24" s="1" t="str">
        <v>-2</v>
      </c>
      <c r="O24" s="1" t="str">
        <v>0</v>
      </c>
      <c r="P24" s="1" t="str">
        <v>+1</v>
      </c>
      <c r="Q24" s="1" t="str">
        <v>0</v>
      </c>
      <c r="R24" s="1" t="str">
        <v>-1</v>
      </c>
      <c r="S24" s="1" t="str">
        <v>+1</v>
      </c>
      <c r="T24" s="2" t="str">
        <f t="shared" si="0"/>
        <v>6'b010100: begin t_symb.A = +1;  t_symb.B = +1; t_symb.C = -1; t_symb.D = 0; end</v>
      </c>
      <c r="U24" s="2" t="str">
        <f t="shared" si="1"/>
        <v>6'b010100: begin t_symb.A = +1;  t_symb.B = +1; t_symb.C = -2; t_symb.D = +1; end</v>
      </c>
      <c r="V24" s="2" t="str">
        <f t="shared" si="2"/>
        <v>6'b010100: begin t_symb.A = +1;  t_symb.B = 0; t_symb.C = -2; t_symb.D = 0; end</v>
      </c>
      <c r="W24" s="2" t="str">
        <f t="shared" si="3"/>
        <v>6'b010100: begin t_symb.A = +1;  t_symb.B = 0; t_symb.C = -1; t_symb.D = +1; end</v>
      </c>
    </row>
    <row r="25" spans="1:23" x14ac:dyDescent="0.25">
      <c r="A25" s="1" t="s">
        <v>122</v>
      </c>
      <c r="B25" s="1" t="str" cm="1">
        <f t="array" ref="B25:S25">_xlfn.TEXTSPLIT(TRIM(A25), {" ",",",", "})</f>
        <v>Normal</v>
      </c>
      <c r="C25" s="1" t="str">
        <v>010101</v>
      </c>
      <c r="D25" s="1" t="str">
        <v>-1</v>
      </c>
      <c r="E25" s="1" t="str">
        <v>+1</v>
      </c>
      <c r="F25" s="1" t="str">
        <v>-1</v>
      </c>
      <c r="G25" s="1" t="str">
        <v>0</v>
      </c>
      <c r="H25" s="1" t="str">
        <v>-1</v>
      </c>
      <c r="I25" s="1" t="str">
        <v>+1</v>
      </c>
      <c r="J25" s="1" t="str">
        <v>-2</v>
      </c>
      <c r="K25" s="1" t="str">
        <v>+1</v>
      </c>
      <c r="L25" s="1" t="str">
        <v>-1</v>
      </c>
      <c r="M25" s="1" t="str">
        <v>0</v>
      </c>
      <c r="N25" s="1" t="str">
        <v>-2</v>
      </c>
      <c r="O25" s="1" t="str">
        <v>0</v>
      </c>
      <c r="P25" s="1" t="str">
        <v>-1</v>
      </c>
      <c r="Q25" s="1" t="str">
        <v>0</v>
      </c>
      <c r="R25" s="1" t="str">
        <v>-1</v>
      </c>
      <c r="S25" s="1" t="str">
        <v>+1</v>
      </c>
      <c r="T25" s="2" t="str">
        <f t="shared" si="0"/>
        <v>6'b010101: begin t_symb.A = -1;  t_symb.B = +1; t_symb.C = -1; t_symb.D = 0; end</v>
      </c>
      <c r="U25" s="2" t="str">
        <f t="shared" si="1"/>
        <v>6'b010101: begin t_symb.A = -1;  t_symb.B = +1; t_symb.C = -2; t_symb.D = +1; end</v>
      </c>
      <c r="V25" s="2" t="str">
        <f t="shared" si="2"/>
        <v>6'b010101: begin t_symb.A = -1;  t_symb.B = 0; t_symb.C = -2; t_symb.D = 0; end</v>
      </c>
      <c r="W25" s="2" t="str">
        <f t="shared" si="3"/>
        <v>6'b010101: begin t_symb.A = -1;  t_symb.B = 0; t_symb.C = -1; t_symb.D = +1; end</v>
      </c>
    </row>
    <row r="26" spans="1:23" x14ac:dyDescent="0.25">
      <c r="A26" s="1" t="s">
        <v>123</v>
      </c>
      <c r="B26" s="1" t="str" cm="1">
        <f t="array" ref="B26:S26">_xlfn.TEXTSPLIT(TRIM(A26), {" ",",",", "})</f>
        <v>Normal</v>
      </c>
      <c r="C26" s="1" t="str">
        <v>010110</v>
      </c>
      <c r="D26" s="1" t="str">
        <v>+1</v>
      </c>
      <c r="E26" s="1" t="str">
        <v>-1</v>
      </c>
      <c r="F26" s="1" t="str">
        <v>-1</v>
      </c>
      <c r="G26" s="1" t="str">
        <v>0</v>
      </c>
      <c r="H26" s="1" t="str">
        <v>+1</v>
      </c>
      <c r="I26" s="1" t="str">
        <v>-1</v>
      </c>
      <c r="J26" s="1" t="str">
        <v>-2</v>
      </c>
      <c r="K26" s="1" t="str">
        <v>+1</v>
      </c>
      <c r="L26" s="1" t="str">
        <v>+1</v>
      </c>
      <c r="M26" s="1" t="str">
        <v>-2</v>
      </c>
      <c r="N26" s="1" t="str">
        <v>-2</v>
      </c>
      <c r="O26" s="1" t="str">
        <v>0</v>
      </c>
      <c r="P26" s="1" t="str">
        <v>+1</v>
      </c>
      <c r="Q26" s="1" t="str">
        <v>-2</v>
      </c>
      <c r="R26" s="1" t="str">
        <v>-1</v>
      </c>
      <c r="S26" s="1" t="str">
        <v>+1</v>
      </c>
      <c r="T26" s="2" t="str">
        <f t="shared" si="0"/>
        <v>6'b010110: begin t_symb.A = +1;  t_symb.B = -1; t_symb.C = -1; t_symb.D = 0; end</v>
      </c>
      <c r="U26" s="2" t="str">
        <f t="shared" si="1"/>
        <v>6'b010110: begin t_symb.A = +1;  t_symb.B = -1; t_symb.C = -2; t_symb.D = +1; end</v>
      </c>
      <c r="V26" s="2" t="str">
        <f t="shared" si="2"/>
        <v>6'b010110: begin t_symb.A = +1;  t_symb.B = -2; t_symb.C = -2; t_symb.D = 0; end</v>
      </c>
      <c r="W26" s="2" t="str">
        <f t="shared" si="3"/>
        <v>6'b010110: begin t_symb.A = +1;  t_symb.B = -2; t_symb.C = -1; t_symb.D = +1; end</v>
      </c>
    </row>
    <row r="27" spans="1:23" x14ac:dyDescent="0.25">
      <c r="A27" s="1" t="s">
        <v>124</v>
      </c>
      <c r="B27" s="1" t="str" cm="1">
        <f t="array" ref="B27:S27">_xlfn.TEXTSPLIT(TRIM(A27), {" ",",",", "})</f>
        <v>Normal</v>
      </c>
      <c r="C27" s="1" t="str">
        <v>010111</v>
      </c>
      <c r="D27" s="1" t="str">
        <v>-1</v>
      </c>
      <c r="E27" s="1" t="str">
        <v>-1</v>
      </c>
      <c r="F27" s="1" t="str">
        <v>-1</v>
      </c>
      <c r="G27" s="1" t="str">
        <v>0</v>
      </c>
      <c r="H27" s="1" t="str">
        <v>-1</v>
      </c>
      <c r="I27" s="1" t="str">
        <v>-1</v>
      </c>
      <c r="J27" s="1" t="str">
        <v>-2</v>
      </c>
      <c r="K27" s="1" t="str">
        <v>+1</v>
      </c>
      <c r="L27" s="1" t="str">
        <v>-1</v>
      </c>
      <c r="M27" s="1" t="str">
        <v>-2</v>
      </c>
      <c r="N27" s="1" t="str">
        <v>-2</v>
      </c>
      <c r="O27" s="1" t="str">
        <v>0</v>
      </c>
      <c r="P27" s="1" t="str">
        <v>-1</v>
      </c>
      <c r="Q27" s="1" t="str">
        <v>-2</v>
      </c>
      <c r="R27" s="1" t="str">
        <v>-1</v>
      </c>
      <c r="S27" s="1" t="str">
        <v>+1</v>
      </c>
      <c r="T27" s="2" t="str">
        <f t="shared" si="0"/>
        <v>6'b010111: begin t_symb.A = -1;  t_symb.B = -1; t_symb.C = -1; t_symb.D = 0; end</v>
      </c>
      <c r="U27" s="2" t="str">
        <f t="shared" si="1"/>
        <v>6'b010111: begin t_symb.A = -1;  t_symb.B = -1; t_symb.C = -2; t_symb.D = +1; end</v>
      </c>
      <c r="V27" s="2" t="str">
        <f t="shared" si="2"/>
        <v>6'b010111: begin t_symb.A = -1;  t_symb.B = -2; t_symb.C = -2; t_symb.D = 0; end</v>
      </c>
      <c r="W27" s="2" t="str">
        <f t="shared" si="3"/>
        <v>6'b010111: begin t_symb.A = -1;  t_symb.B = -2; t_symb.C = -1; t_symb.D = +1; end</v>
      </c>
    </row>
    <row r="28" spans="1:23" x14ac:dyDescent="0.25">
      <c r="A28" s="1" t="s">
        <v>125</v>
      </c>
      <c r="B28" s="1" t="str" cm="1">
        <f t="array" ref="B28:S28">_xlfn.TEXTSPLIT(TRIM(A28), {" ",",",", "})</f>
        <v>Normal</v>
      </c>
      <c r="C28" s="1" t="str">
        <v>011000</v>
      </c>
      <c r="D28" s="1" t="str">
        <v>+1</v>
      </c>
      <c r="E28" s="1" t="str">
        <v>+1</v>
      </c>
      <c r="F28" s="1" t="str">
        <v>+1</v>
      </c>
      <c r="G28" s="1" t="str">
        <v>-2</v>
      </c>
      <c r="H28" s="1" t="str">
        <v>+1</v>
      </c>
      <c r="I28" s="1" t="str">
        <v>+1</v>
      </c>
      <c r="J28" s="1" t="str">
        <v>0</v>
      </c>
      <c r="K28" s="1" t="str">
        <v>-1</v>
      </c>
      <c r="L28" s="1" t="str">
        <v>+1</v>
      </c>
      <c r="M28" s="1" t="str">
        <v>0</v>
      </c>
      <c r="N28" s="1" t="str">
        <v>0</v>
      </c>
      <c r="O28" s="1" t="str">
        <v>-2</v>
      </c>
      <c r="P28" s="1" t="str">
        <v>+1</v>
      </c>
      <c r="Q28" s="1" t="str">
        <v>0</v>
      </c>
      <c r="R28" s="1" t="str">
        <v>+1</v>
      </c>
      <c r="S28" s="1" t="str">
        <v>-1</v>
      </c>
      <c r="T28" s="2" t="str">
        <f t="shared" si="0"/>
        <v>6'b011000: begin t_symb.A = +1;  t_symb.B = +1; t_symb.C = +1; t_symb.D = -2; end</v>
      </c>
      <c r="U28" s="2" t="str">
        <f t="shared" si="1"/>
        <v>6'b011000: begin t_symb.A = +1;  t_symb.B = +1; t_symb.C = 0; t_symb.D = -1; end</v>
      </c>
      <c r="V28" s="2" t="str">
        <f t="shared" si="2"/>
        <v>6'b011000: begin t_symb.A = +1;  t_symb.B = 0; t_symb.C = 0; t_symb.D = -2; end</v>
      </c>
      <c r="W28" s="2" t="str">
        <f t="shared" si="3"/>
        <v>6'b011000: begin t_symb.A = +1;  t_symb.B = 0; t_symb.C = +1; t_symb.D = -1; end</v>
      </c>
    </row>
    <row r="29" spans="1:23" x14ac:dyDescent="0.25">
      <c r="A29" s="1" t="s">
        <v>126</v>
      </c>
      <c r="B29" s="1" t="str" cm="1">
        <f t="array" ref="B29:S29">_xlfn.TEXTSPLIT(TRIM(A29), {" ",",",", "})</f>
        <v>Normal</v>
      </c>
      <c r="C29" s="1" t="str">
        <v>011001</v>
      </c>
      <c r="D29" s="1" t="str">
        <v>-1</v>
      </c>
      <c r="E29" s="1" t="str">
        <v>+1</v>
      </c>
      <c r="F29" s="1" t="str">
        <v>+1</v>
      </c>
      <c r="G29" s="1" t="str">
        <v>-2</v>
      </c>
      <c r="H29" s="1" t="str">
        <v>-1</v>
      </c>
      <c r="I29" s="1" t="str">
        <v>+1</v>
      </c>
      <c r="J29" s="1" t="str">
        <v>0</v>
      </c>
      <c r="K29" s="1" t="str">
        <v>-1</v>
      </c>
      <c r="L29" s="1" t="str">
        <v>-1</v>
      </c>
      <c r="M29" s="1" t="str">
        <v>0</v>
      </c>
      <c r="N29" s="1" t="str">
        <v>0</v>
      </c>
      <c r="O29" s="1" t="str">
        <v>-2</v>
      </c>
      <c r="P29" s="1" t="str">
        <v>-1</v>
      </c>
      <c r="Q29" s="1" t="str">
        <v>0</v>
      </c>
      <c r="R29" s="1" t="str">
        <v>+1</v>
      </c>
      <c r="S29" s="1" t="str">
        <v>-1</v>
      </c>
      <c r="T29" s="2" t="str">
        <f t="shared" si="0"/>
        <v>6'b011001: begin t_symb.A = -1;  t_symb.B = +1; t_symb.C = +1; t_symb.D = -2; end</v>
      </c>
      <c r="U29" s="2" t="str">
        <f t="shared" si="1"/>
        <v>6'b011001: begin t_symb.A = -1;  t_symb.B = +1; t_symb.C = 0; t_symb.D = -1; end</v>
      </c>
      <c r="V29" s="2" t="str">
        <f t="shared" si="2"/>
        <v>6'b011001: begin t_symb.A = -1;  t_symb.B = 0; t_symb.C = 0; t_symb.D = -2; end</v>
      </c>
      <c r="W29" s="2" t="str">
        <f t="shared" si="3"/>
        <v>6'b011001: begin t_symb.A = -1;  t_symb.B = 0; t_symb.C = +1; t_symb.D = -1; end</v>
      </c>
    </row>
    <row r="30" spans="1:23" x14ac:dyDescent="0.25">
      <c r="A30" s="1" t="s">
        <v>127</v>
      </c>
      <c r="B30" s="1" t="str" cm="1">
        <f t="array" ref="B30:S30">_xlfn.TEXTSPLIT(TRIM(A30), {" ",",",", "})</f>
        <v>Normal</v>
      </c>
      <c r="C30" s="1" t="str">
        <v>011010</v>
      </c>
      <c r="D30" s="1" t="str">
        <v>+1</v>
      </c>
      <c r="E30" s="1" t="str">
        <v>-1</v>
      </c>
      <c r="F30" s="1" t="str">
        <v>+1</v>
      </c>
      <c r="G30" s="1" t="str">
        <v>-2</v>
      </c>
      <c r="H30" s="1" t="str">
        <v>+1</v>
      </c>
      <c r="I30" s="1" t="str">
        <v>-1</v>
      </c>
      <c r="J30" s="1" t="str">
        <v>0</v>
      </c>
      <c r="K30" s="1" t="str">
        <v>-1</v>
      </c>
      <c r="L30" s="1" t="str">
        <v>+1</v>
      </c>
      <c r="M30" s="1" t="str">
        <v>-2</v>
      </c>
      <c r="N30" s="1" t="str">
        <v>0</v>
      </c>
      <c r="O30" s="1" t="str">
        <v>-2</v>
      </c>
      <c r="P30" s="1" t="str">
        <v>+1</v>
      </c>
      <c r="Q30" s="1" t="str">
        <v>-2</v>
      </c>
      <c r="R30" s="1" t="str">
        <v>+1</v>
      </c>
      <c r="S30" s="1" t="str">
        <v>-1</v>
      </c>
      <c r="T30" s="2" t="str">
        <f t="shared" si="0"/>
        <v>6'b011010: begin t_symb.A = +1;  t_symb.B = -1; t_symb.C = +1; t_symb.D = -2; end</v>
      </c>
      <c r="U30" s="2" t="str">
        <f t="shared" si="1"/>
        <v>6'b011010: begin t_symb.A = +1;  t_symb.B = -1; t_symb.C = 0; t_symb.D = -1; end</v>
      </c>
      <c r="V30" s="2" t="str">
        <f t="shared" si="2"/>
        <v>6'b011010: begin t_symb.A = +1;  t_symb.B = -2; t_symb.C = 0; t_symb.D = -2; end</v>
      </c>
      <c r="W30" s="2" t="str">
        <f t="shared" si="3"/>
        <v>6'b011010: begin t_symb.A = +1;  t_symb.B = -2; t_symb.C = +1; t_symb.D = -1; end</v>
      </c>
    </row>
    <row r="31" spans="1:23" x14ac:dyDescent="0.25">
      <c r="A31" s="1" t="s">
        <v>128</v>
      </c>
      <c r="B31" s="1" t="str" cm="1">
        <f t="array" ref="B31:S31">_xlfn.TEXTSPLIT(TRIM(A31), {" ",",",", "})</f>
        <v>Normal</v>
      </c>
      <c r="C31" s="1" t="str">
        <v>011011</v>
      </c>
      <c r="D31" s="1" t="str">
        <v>-1</v>
      </c>
      <c r="E31" s="1" t="str">
        <v>-1</v>
      </c>
      <c r="F31" s="1" t="str">
        <v>+1</v>
      </c>
      <c r="G31" s="1" t="str">
        <v>-2</v>
      </c>
      <c r="H31" s="1" t="str">
        <v>-1</v>
      </c>
      <c r="I31" s="1" t="str">
        <v>-1</v>
      </c>
      <c r="J31" s="1" t="str">
        <v>0</v>
      </c>
      <c r="K31" s="1" t="str">
        <v>-1</v>
      </c>
      <c r="L31" s="1" t="str">
        <v>-1</v>
      </c>
      <c r="M31" s="1" t="str">
        <v>-2</v>
      </c>
      <c r="N31" s="1" t="str">
        <v>0</v>
      </c>
      <c r="O31" s="1" t="str">
        <v>-2</v>
      </c>
      <c r="P31" s="1" t="str">
        <v>-1</v>
      </c>
      <c r="Q31" s="1" t="str">
        <v>-2</v>
      </c>
      <c r="R31" s="1" t="str">
        <v>+1</v>
      </c>
      <c r="S31" s="1" t="str">
        <v>-1</v>
      </c>
      <c r="T31" s="2" t="str">
        <f t="shared" si="0"/>
        <v>6'b011011: begin t_symb.A = -1;  t_symb.B = -1; t_symb.C = +1; t_symb.D = -2; end</v>
      </c>
      <c r="U31" s="2" t="str">
        <f t="shared" si="1"/>
        <v>6'b011011: begin t_symb.A = -1;  t_symb.B = -1; t_symb.C = 0; t_symb.D = -1; end</v>
      </c>
      <c r="V31" s="2" t="str">
        <f t="shared" si="2"/>
        <v>6'b011011: begin t_symb.A = -1;  t_symb.B = -2; t_symb.C = 0; t_symb.D = -2; end</v>
      </c>
      <c r="W31" s="2" t="str">
        <f t="shared" si="3"/>
        <v>6'b011011: begin t_symb.A = -1;  t_symb.B = -2; t_symb.C = +1; t_symb.D = -1; end</v>
      </c>
    </row>
    <row r="32" spans="1:23" x14ac:dyDescent="0.25">
      <c r="A32" s="1" t="s">
        <v>129</v>
      </c>
      <c r="B32" s="1" t="str" cm="1">
        <f t="array" ref="B32:S32">_xlfn.TEXTSPLIT(TRIM(A32), {" ",",",", "})</f>
        <v>Normal</v>
      </c>
      <c r="C32" s="1" t="str">
        <v>011100</v>
      </c>
      <c r="D32" s="1" t="str">
        <v>+1</v>
      </c>
      <c r="E32" s="1" t="str">
        <v>+1</v>
      </c>
      <c r="F32" s="1" t="str">
        <v>-1</v>
      </c>
      <c r="G32" s="1" t="str">
        <v>-2</v>
      </c>
      <c r="H32" s="1" t="str">
        <v>+1</v>
      </c>
      <c r="I32" s="1" t="str">
        <v>+1</v>
      </c>
      <c r="J32" s="1" t="str">
        <v>-2</v>
      </c>
      <c r="K32" s="1" t="str">
        <v>-1</v>
      </c>
      <c r="L32" s="1" t="str">
        <v>+1</v>
      </c>
      <c r="M32" s="1" t="str">
        <v>0</v>
      </c>
      <c r="N32" s="1" t="str">
        <v>-2</v>
      </c>
      <c r="O32" s="1" t="str">
        <v>-2</v>
      </c>
      <c r="P32" s="1" t="str">
        <v>+1</v>
      </c>
      <c r="Q32" s="1" t="str">
        <v>0</v>
      </c>
      <c r="R32" s="1" t="str">
        <v>-1</v>
      </c>
      <c r="S32" s="1" t="str">
        <v>-1</v>
      </c>
      <c r="T32" s="2" t="str">
        <f t="shared" si="0"/>
        <v>6'b011100: begin t_symb.A = +1;  t_symb.B = +1; t_symb.C = -1; t_symb.D = -2; end</v>
      </c>
      <c r="U32" s="2" t="str">
        <f t="shared" si="1"/>
        <v>6'b011100: begin t_symb.A = +1;  t_symb.B = +1; t_symb.C = -2; t_symb.D = -1; end</v>
      </c>
      <c r="V32" s="2" t="str">
        <f t="shared" si="2"/>
        <v>6'b011100: begin t_symb.A = +1;  t_symb.B = 0; t_symb.C = -2; t_symb.D = -2; end</v>
      </c>
      <c r="W32" s="2" t="str">
        <f t="shared" si="3"/>
        <v>6'b011100: begin t_symb.A = +1;  t_symb.B = 0; t_symb.C = -1; t_symb.D = -1; end</v>
      </c>
    </row>
    <row r="33" spans="1:23" x14ac:dyDescent="0.25">
      <c r="A33" s="1" t="s">
        <v>130</v>
      </c>
      <c r="B33" s="1" t="str" cm="1">
        <f t="array" ref="B33:S33">_xlfn.TEXTSPLIT(TRIM(A33), {" ",",",", "})</f>
        <v>Normal</v>
      </c>
      <c r="C33" s="1" t="str">
        <v>011101</v>
      </c>
      <c r="D33" s="1" t="str">
        <v>-1</v>
      </c>
      <c r="E33" s="1" t="str">
        <v>+1</v>
      </c>
      <c r="F33" s="1" t="str">
        <v>-1</v>
      </c>
      <c r="G33" s="1" t="str">
        <v>-2</v>
      </c>
      <c r="H33" s="1" t="str">
        <v>-1</v>
      </c>
      <c r="I33" s="1" t="str">
        <v>+1</v>
      </c>
      <c r="J33" s="1" t="str">
        <v>-2</v>
      </c>
      <c r="K33" s="1" t="str">
        <v>-1</v>
      </c>
      <c r="L33" s="1" t="str">
        <v>-1</v>
      </c>
      <c r="M33" s="1" t="str">
        <v>0</v>
      </c>
      <c r="N33" s="1" t="str">
        <v>-2</v>
      </c>
      <c r="O33" s="1" t="str">
        <v>-2</v>
      </c>
      <c r="P33" s="1" t="str">
        <v>-1</v>
      </c>
      <c r="Q33" s="1" t="str">
        <v>0</v>
      </c>
      <c r="R33" s="1" t="str">
        <v>-1</v>
      </c>
      <c r="S33" s="1" t="str">
        <v>-1</v>
      </c>
      <c r="T33" s="2" t="str">
        <f t="shared" si="0"/>
        <v>6'b011101: begin t_symb.A = -1;  t_symb.B = +1; t_symb.C = -1; t_symb.D = -2; end</v>
      </c>
      <c r="U33" s="2" t="str">
        <f t="shared" si="1"/>
        <v>6'b011101: begin t_symb.A = -1;  t_symb.B = +1; t_symb.C = -2; t_symb.D = -1; end</v>
      </c>
      <c r="V33" s="2" t="str">
        <f t="shared" si="2"/>
        <v>6'b011101: begin t_symb.A = -1;  t_symb.B = 0; t_symb.C = -2; t_symb.D = -2; end</v>
      </c>
      <c r="W33" s="2" t="str">
        <f t="shared" si="3"/>
        <v>6'b011101: begin t_symb.A = -1;  t_symb.B = 0; t_symb.C = -1; t_symb.D = -1; end</v>
      </c>
    </row>
    <row r="34" spans="1:23" x14ac:dyDescent="0.25">
      <c r="A34" s="1" t="s">
        <v>131</v>
      </c>
      <c r="B34" s="1" t="str" cm="1">
        <f t="array" ref="B34:S34">_xlfn.TEXTSPLIT(TRIM(A34), {" ",",",", "})</f>
        <v>Normal</v>
      </c>
      <c r="C34" s="1" t="str">
        <v>011110</v>
      </c>
      <c r="D34" s="1" t="str">
        <v>+1</v>
      </c>
      <c r="E34" s="1" t="str">
        <v>-1</v>
      </c>
      <c r="F34" s="1" t="str">
        <v>-1</v>
      </c>
      <c r="G34" s="1" t="str">
        <v>-2</v>
      </c>
      <c r="H34" s="1" t="str">
        <v>+1</v>
      </c>
      <c r="I34" s="1" t="str">
        <v>-1</v>
      </c>
      <c r="J34" s="1" t="str">
        <v>-2</v>
      </c>
      <c r="K34" s="1" t="str">
        <v>-1</v>
      </c>
      <c r="L34" s="1" t="str">
        <v>+1</v>
      </c>
      <c r="M34" s="1" t="str">
        <v>-2</v>
      </c>
      <c r="N34" s="1" t="str">
        <v>-2</v>
      </c>
      <c r="O34" s="1" t="str">
        <v>-2</v>
      </c>
      <c r="P34" s="1" t="str">
        <v>+1</v>
      </c>
      <c r="Q34" s="1" t="str">
        <v>-2</v>
      </c>
      <c r="R34" s="1" t="str">
        <v>-1</v>
      </c>
      <c r="S34" s="1" t="str">
        <v>-1</v>
      </c>
      <c r="T34" s="2" t="str">
        <f t="shared" si="0"/>
        <v>6'b011110: begin t_symb.A = +1;  t_symb.B = -1; t_symb.C = -1; t_symb.D = -2; end</v>
      </c>
      <c r="U34" s="2" t="str">
        <f t="shared" si="1"/>
        <v>6'b011110: begin t_symb.A = +1;  t_symb.B = -1; t_symb.C = -2; t_symb.D = -1; end</v>
      </c>
      <c r="V34" s="2" t="str">
        <f t="shared" si="2"/>
        <v>6'b011110: begin t_symb.A = +1;  t_symb.B = -2; t_symb.C = -2; t_symb.D = -2; end</v>
      </c>
      <c r="W34" s="2" t="str">
        <f t="shared" si="3"/>
        <v>6'b011110: begin t_symb.A = +1;  t_symb.B = -2; t_symb.C = -1; t_symb.D = -1; end</v>
      </c>
    </row>
    <row r="35" spans="1:23" x14ac:dyDescent="0.25">
      <c r="A35" s="1" t="s">
        <v>132</v>
      </c>
      <c r="B35" s="1" t="str" cm="1">
        <f t="array" ref="B35:S35">_xlfn.TEXTSPLIT(TRIM(A35), {" ",",",", "})</f>
        <v>Normal</v>
      </c>
      <c r="C35" s="1" t="str">
        <v>011111</v>
      </c>
      <c r="D35" s="1" t="str">
        <v>-1</v>
      </c>
      <c r="E35" s="1" t="str">
        <v>-1</v>
      </c>
      <c r="F35" s="1" t="str">
        <v>-1</v>
      </c>
      <c r="G35" s="1" t="str">
        <v>-2</v>
      </c>
      <c r="H35" s="1" t="str">
        <v>-1</v>
      </c>
      <c r="I35" s="1" t="str">
        <v>-1</v>
      </c>
      <c r="J35" s="1" t="str">
        <v>-2</v>
      </c>
      <c r="K35" s="1" t="str">
        <v>-1</v>
      </c>
      <c r="L35" s="1" t="str">
        <v>-1</v>
      </c>
      <c r="M35" s="1" t="str">
        <v>-2</v>
      </c>
      <c r="N35" s="1" t="str">
        <v>-2</v>
      </c>
      <c r="O35" s="1" t="str">
        <v>-2</v>
      </c>
      <c r="P35" s="1" t="str">
        <v>-1</v>
      </c>
      <c r="Q35" s="1" t="str">
        <v>-2</v>
      </c>
      <c r="R35" s="1" t="str">
        <v>-1</v>
      </c>
      <c r="S35" s="1" t="str">
        <v>-1</v>
      </c>
      <c r="T35" s="2" t="str">
        <f t="shared" si="0"/>
        <v>6'b011111: begin t_symb.A = -1;  t_symb.B = -1; t_symb.C = -1; t_symb.D = -2; end</v>
      </c>
      <c r="U35" s="2" t="str">
        <f t="shared" si="1"/>
        <v>6'b011111: begin t_symb.A = -1;  t_symb.B = -1; t_symb.C = -2; t_symb.D = -1; end</v>
      </c>
      <c r="V35" s="2" t="str">
        <f t="shared" si="2"/>
        <v>6'b011111: begin t_symb.A = -1;  t_symb.B = -2; t_symb.C = -2; t_symb.D = -2; end</v>
      </c>
      <c r="W35" s="2" t="str">
        <f t="shared" si="3"/>
        <v>6'b011111: begin t_symb.A = -1;  t_symb.B = -2; t_symb.C = -1; t_symb.D = -1; end</v>
      </c>
    </row>
    <row r="36" spans="1:23" x14ac:dyDescent="0.25">
      <c r="A36" s="1" t="s">
        <v>133</v>
      </c>
      <c r="B36" s="1" t="str" cm="1">
        <f t="array" ref="B36:S36">_xlfn.TEXTSPLIT(TRIM(A36), {" ",",",", "})</f>
        <v>Normal</v>
      </c>
      <c r="C36" s="1" t="str">
        <v>100000</v>
      </c>
      <c r="D36" s="1" t="str">
        <v>+2</v>
      </c>
      <c r="E36" s="1" t="str">
        <v>0</v>
      </c>
      <c r="F36" s="1" t="str">
        <v>0</v>
      </c>
      <c r="G36" s="1" t="str">
        <v>+1</v>
      </c>
      <c r="H36" s="1" t="str">
        <v>+2</v>
      </c>
      <c r="I36" s="1" t="str">
        <v>0</v>
      </c>
      <c r="J36" s="1" t="str">
        <v>+1</v>
      </c>
      <c r="K36" s="1" t="str">
        <v>0</v>
      </c>
      <c r="L36" s="1" t="str">
        <v>+2</v>
      </c>
      <c r="M36" s="1" t="str">
        <v>+1</v>
      </c>
      <c r="N36" s="1" t="str">
        <v>+1</v>
      </c>
      <c r="O36" s="1" t="str">
        <v>+1</v>
      </c>
      <c r="P36" s="1" t="str">
        <v>+2</v>
      </c>
      <c r="Q36" s="1" t="str">
        <v>+1</v>
      </c>
      <c r="R36" s="1" t="str">
        <v>0</v>
      </c>
      <c r="S36" s="1" t="str">
        <v>0</v>
      </c>
      <c r="T36" s="2" t="str">
        <f t="shared" si="0"/>
        <v>6'b100000: begin t_symb.A = +2;  t_symb.B = 0; t_symb.C = 0; t_symb.D = +1; end</v>
      </c>
      <c r="U36" s="2" t="str">
        <f t="shared" si="1"/>
        <v>6'b100000: begin t_symb.A = +2;  t_symb.B = 0; t_symb.C = +1; t_symb.D = 0; end</v>
      </c>
      <c r="V36" s="2" t="str">
        <f t="shared" si="2"/>
        <v>6'b100000: begin t_symb.A = +2;  t_symb.B = +1; t_symb.C = +1; t_symb.D = +1; end</v>
      </c>
      <c r="W36" s="2" t="str">
        <f t="shared" si="3"/>
        <v>6'b100000: begin t_symb.A = +2;  t_symb.B = +1; t_symb.C = 0; t_symb.D = 0; end</v>
      </c>
    </row>
    <row r="37" spans="1:23" x14ac:dyDescent="0.25">
      <c r="A37" s="1" t="s">
        <v>134</v>
      </c>
      <c r="B37" s="1" t="str" cm="1">
        <f t="array" ref="B37:S37">_xlfn.TEXTSPLIT(TRIM(A37), {" ",",",", "})</f>
        <v>Normal</v>
      </c>
      <c r="C37" s="1" t="str">
        <v>100001</v>
      </c>
      <c r="D37" s="1" t="str">
        <v>+2</v>
      </c>
      <c r="E37" s="1" t="str">
        <v>-2</v>
      </c>
      <c r="F37" s="1" t="str">
        <v>0</v>
      </c>
      <c r="G37" s="1" t="str">
        <v>+1</v>
      </c>
      <c r="H37" s="1" t="str">
        <v>+2</v>
      </c>
      <c r="I37" s="1" t="str">
        <v>-2</v>
      </c>
      <c r="J37" s="1" t="str">
        <v>+1</v>
      </c>
      <c r="K37" s="1" t="str">
        <v>0</v>
      </c>
      <c r="L37" s="1" t="str">
        <v>+2</v>
      </c>
      <c r="M37" s="1" t="str">
        <v>-1</v>
      </c>
      <c r="N37" s="1" t="str">
        <v>+1</v>
      </c>
      <c r="O37" s="1" t="str">
        <v>+1</v>
      </c>
      <c r="P37" s="1" t="str">
        <v>+2</v>
      </c>
      <c r="Q37" s="1" t="str">
        <v>-1</v>
      </c>
      <c r="R37" s="1" t="str">
        <v>0</v>
      </c>
      <c r="S37" s="1" t="str">
        <v>0</v>
      </c>
      <c r="T37" s="2" t="str">
        <f t="shared" si="0"/>
        <v>6'b100001: begin t_symb.A = +2;  t_symb.B = -2; t_symb.C = 0; t_symb.D = +1; end</v>
      </c>
      <c r="U37" s="2" t="str">
        <f t="shared" si="1"/>
        <v>6'b100001: begin t_symb.A = +2;  t_symb.B = -2; t_symb.C = +1; t_symb.D = 0; end</v>
      </c>
      <c r="V37" s="2" t="str">
        <f t="shared" si="2"/>
        <v>6'b100001: begin t_symb.A = +2;  t_symb.B = -1; t_symb.C = +1; t_symb.D = +1; end</v>
      </c>
      <c r="W37" s="2" t="str">
        <f t="shared" si="3"/>
        <v>6'b100001: begin t_symb.A = +2;  t_symb.B = -1; t_symb.C = 0; t_symb.D = 0; end</v>
      </c>
    </row>
    <row r="38" spans="1:23" x14ac:dyDescent="0.25">
      <c r="A38" s="1" t="s">
        <v>135</v>
      </c>
      <c r="B38" s="1" t="str" cm="1">
        <f t="array" ref="B38:S38">_xlfn.TEXTSPLIT(TRIM(A38), {" ",",",", "})</f>
        <v>Normal</v>
      </c>
      <c r="C38" s="1" t="str">
        <v>100010</v>
      </c>
      <c r="D38" s="1" t="str">
        <v>+2</v>
      </c>
      <c r="E38" s="1" t="str">
        <v>0</v>
      </c>
      <c r="F38" s="1" t="str">
        <v>-2</v>
      </c>
      <c r="G38" s="1" t="str">
        <v>+1</v>
      </c>
      <c r="H38" s="1" t="str">
        <v>+2</v>
      </c>
      <c r="I38" s="1" t="str">
        <v>0</v>
      </c>
      <c r="J38" s="1" t="str">
        <v>-1</v>
      </c>
      <c r="K38" s="1" t="str">
        <v>0</v>
      </c>
      <c r="L38" s="1" t="str">
        <v>+2</v>
      </c>
      <c r="M38" s="1" t="str">
        <v>+1</v>
      </c>
      <c r="N38" s="1" t="str">
        <v>-1</v>
      </c>
      <c r="O38" s="1" t="str">
        <v>+1</v>
      </c>
      <c r="P38" s="1" t="str">
        <v>+2</v>
      </c>
      <c r="Q38" s="1" t="str">
        <v>+1</v>
      </c>
      <c r="R38" s="1" t="str">
        <v>-2</v>
      </c>
      <c r="S38" s="1" t="str">
        <v>0</v>
      </c>
      <c r="T38" s="2" t="str">
        <f t="shared" si="0"/>
        <v>6'b100010: begin t_symb.A = +2;  t_symb.B = 0; t_symb.C = -2; t_symb.D = +1; end</v>
      </c>
      <c r="U38" s="2" t="str">
        <f t="shared" si="1"/>
        <v>6'b100010: begin t_symb.A = +2;  t_symb.B = 0; t_symb.C = -1; t_symb.D = 0; end</v>
      </c>
      <c r="V38" s="2" t="str">
        <f t="shared" si="2"/>
        <v>6'b100010: begin t_symb.A = +2;  t_symb.B = +1; t_symb.C = -1; t_symb.D = +1; end</v>
      </c>
      <c r="W38" s="2" t="str">
        <f t="shared" si="3"/>
        <v>6'b100010: begin t_symb.A = +2;  t_symb.B = +1; t_symb.C = -2; t_symb.D = 0; end</v>
      </c>
    </row>
    <row r="39" spans="1:23" x14ac:dyDescent="0.25">
      <c r="A39" s="1" t="s">
        <v>136</v>
      </c>
      <c r="B39" s="1" t="str" cm="1">
        <f t="array" ref="B39:S39">_xlfn.TEXTSPLIT(TRIM(A39), {" ",",",", "})</f>
        <v>Normal</v>
      </c>
      <c r="C39" s="1" t="str">
        <v>100011</v>
      </c>
      <c r="D39" s="1" t="str">
        <v>+2</v>
      </c>
      <c r="E39" s="1" t="str">
        <v>-2</v>
      </c>
      <c r="F39" s="1" t="str">
        <v>-2</v>
      </c>
      <c r="G39" s="1" t="str">
        <v>+1</v>
      </c>
      <c r="H39" s="1" t="str">
        <v>+2</v>
      </c>
      <c r="I39" s="1" t="str">
        <v>-2</v>
      </c>
      <c r="J39" s="1" t="str">
        <v>-1</v>
      </c>
      <c r="K39" s="1" t="str">
        <v>0</v>
      </c>
      <c r="L39" s="1" t="str">
        <v>+2</v>
      </c>
      <c r="M39" s="1" t="str">
        <v>-1</v>
      </c>
      <c r="N39" s="1" t="str">
        <v>-1</v>
      </c>
      <c r="O39" s="1" t="str">
        <v>+1</v>
      </c>
      <c r="P39" s="1" t="str">
        <v>+2</v>
      </c>
      <c r="Q39" s="1" t="str">
        <v>-1</v>
      </c>
      <c r="R39" s="1" t="str">
        <v>-2</v>
      </c>
      <c r="S39" s="1" t="str">
        <v>0</v>
      </c>
      <c r="T39" s="2" t="str">
        <f t="shared" si="0"/>
        <v>6'b100011: begin t_symb.A = +2;  t_symb.B = -2; t_symb.C = -2; t_symb.D = +1; end</v>
      </c>
      <c r="U39" s="2" t="str">
        <f t="shared" si="1"/>
        <v>6'b100011: begin t_symb.A = +2;  t_symb.B = -2; t_symb.C = -1; t_symb.D = 0; end</v>
      </c>
      <c r="V39" s="2" t="str">
        <f t="shared" si="2"/>
        <v>6'b100011: begin t_symb.A = +2;  t_symb.B = -1; t_symb.C = -1; t_symb.D = +1; end</v>
      </c>
      <c r="W39" s="2" t="str">
        <f t="shared" si="3"/>
        <v>6'b100011: begin t_symb.A = +2;  t_symb.B = -1; t_symb.C = -2; t_symb.D = 0; end</v>
      </c>
    </row>
    <row r="40" spans="1:23" x14ac:dyDescent="0.25">
      <c r="A40" s="1" t="s">
        <v>137</v>
      </c>
      <c r="B40" s="1" t="str" cm="1">
        <f t="array" ref="B40:S40">_xlfn.TEXTSPLIT(TRIM(A40), {" ",",",", "})</f>
        <v>Normal</v>
      </c>
      <c r="C40" s="1" t="str">
        <v>100100</v>
      </c>
      <c r="D40" s="1" t="str">
        <v>+2</v>
      </c>
      <c r="E40" s="1" t="str">
        <v>0</v>
      </c>
      <c r="F40" s="1" t="str">
        <v>0</v>
      </c>
      <c r="G40" s="1" t="str">
        <v>-1</v>
      </c>
      <c r="H40" s="1" t="str">
        <v>+2</v>
      </c>
      <c r="I40" s="1" t="str">
        <v>0</v>
      </c>
      <c r="J40" s="1" t="str">
        <v>+1</v>
      </c>
      <c r="K40" s="1" t="str">
        <v>-2</v>
      </c>
      <c r="L40" s="1" t="str">
        <v>+2</v>
      </c>
      <c r="M40" s="1" t="str">
        <v>+1</v>
      </c>
      <c r="N40" s="1" t="str">
        <v>+1</v>
      </c>
      <c r="O40" s="1" t="str">
        <v>-1</v>
      </c>
      <c r="P40" s="1" t="str">
        <v>+2</v>
      </c>
      <c r="Q40" s="1" t="str">
        <v>+1</v>
      </c>
      <c r="R40" s="1" t="str">
        <v>0</v>
      </c>
      <c r="S40" s="1" t="str">
        <v>-2</v>
      </c>
      <c r="T40" s="2" t="str">
        <f t="shared" si="0"/>
        <v>6'b100100: begin t_symb.A = +2;  t_symb.B = 0; t_symb.C = 0; t_symb.D = -1; end</v>
      </c>
      <c r="U40" s="2" t="str">
        <f t="shared" si="1"/>
        <v>6'b100100: begin t_symb.A = +2;  t_symb.B = 0; t_symb.C = +1; t_symb.D = -2; end</v>
      </c>
      <c r="V40" s="2" t="str">
        <f t="shared" si="2"/>
        <v>6'b100100: begin t_symb.A = +2;  t_symb.B = +1; t_symb.C = +1; t_symb.D = -1; end</v>
      </c>
      <c r="W40" s="2" t="str">
        <f t="shared" si="3"/>
        <v>6'b100100: begin t_symb.A = +2;  t_symb.B = +1; t_symb.C = 0; t_symb.D = -2; end</v>
      </c>
    </row>
    <row r="41" spans="1:23" x14ac:dyDescent="0.25">
      <c r="A41" s="1" t="s">
        <v>138</v>
      </c>
      <c r="B41" s="1" t="str" cm="1">
        <f t="array" ref="B41:S41">_xlfn.TEXTSPLIT(TRIM(A41), {" ",",",", "})</f>
        <v>Normal</v>
      </c>
      <c r="C41" s="1" t="str">
        <v>100101</v>
      </c>
      <c r="D41" s="1" t="str">
        <v>+2</v>
      </c>
      <c r="E41" s="1" t="str">
        <v>-2</v>
      </c>
      <c r="F41" s="1" t="str">
        <v>0</v>
      </c>
      <c r="G41" s="1" t="str">
        <v>-1</v>
      </c>
      <c r="H41" s="1" t="str">
        <v>+2</v>
      </c>
      <c r="I41" s="1" t="str">
        <v>-2</v>
      </c>
      <c r="J41" s="1" t="str">
        <v>+1</v>
      </c>
      <c r="K41" s="1" t="str">
        <v>-2</v>
      </c>
      <c r="L41" s="1" t="str">
        <v>+2</v>
      </c>
      <c r="M41" s="1" t="str">
        <v>-1</v>
      </c>
      <c r="N41" s="1" t="str">
        <v>+1</v>
      </c>
      <c r="O41" s="1" t="str">
        <v>-1</v>
      </c>
      <c r="P41" s="1" t="str">
        <v>+2</v>
      </c>
      <c r="Q41" s="1" t="str">
        <v>-1</v>
      </c>
      <c r="R41" s="1" t="str">
        <v>0</v>
      </c>
      <c r="S41" s="1" t="str">
        <v>-2</v>
      </c>
      <c r="T41" s="2" t="str">
        <f t="shared" si="0"/>
        <v>6'b100101: begin t_symb.A = +2;  t_symb.B = -2; t_symb.C = 0; t_symb.D = -1; end</v>
      </c>
      <c r="U41" s="2" t="str">
        <f t="shared" si="1"/>
        <v>6'b100101: begin t_symb.A = +2;  t_symb.B = -2; t_symb.C = +1; t_symb.D = -2; end</v>
      </c>
      <c r="V41" s="2" t="str">
        <f t="shared" si="2"/>
        <v>6'b100101: begin t_symb.A = +2;  t_symb.B = -1; t_symb.C = +1; t_symb.D = -1; end</v>
      </c>
      <c r="W41" s="2" t="str">
        <f t="shared" si="3"/>
        <v>6'b100101: begin t_symb.A = +2;  t_symb.B = -1; t_symb.C = 0; t_symb.D = -2; end</v>
      </c>
    </row>
    <row r="42" spans="1:23" x14ac:dyDescent="0.25">
      <c r="A42" s="1" t="s">
        <v>139</v>
      </c>
      <c r="B42" s="1" t="str" cm="1">
        <f t="array" ref="B42:S42">_xlfn.TEXTSPLIT(TRIM(A42), {" ",",",", "})</f>
        <v>Normal</v>
      </c>
      <c r="C42" s="1" t="str">
        <v>100110</v>
      </c>
      <c r="D42" s="1" t="str">
        <v>+2</v>
      </c>
      <c r="E42" s="1" t="str">
        <v>0</v>
      </c>
      <c r="F42" s="1" t="str">
        <v>-2</v>
      </c>
      <c r="G42" s="1" t="str">
        <v>-1</v>
      </c>
      <c r="H42" s="1" t="str">
        <v>+2</v>
      </c>
      <c r="I42" s="1" t="str">
        <v>0</v>
      </c>
      <c r="J42" s="1" t="str">
        <v>-1</v>
      </c>
      <c r="K42" s="1" t="str">
        <v>-2</v>
      </c>
      <c r="L42" s="1" t="str">
        <v>+2</v>
      </c>
      <c r="M42" s="1" t="str">
        <v>+1</v>
      </c>
      <c r="N42" s="1" t="str">
        <v>-1</v>
      </c>
      <c r="O42" s="1" t="str">
        <v>-1</v>
      </c>
      <c r="P42" s="1" t="str">
        <v>+2</v>
      </c>
      <c r="Q42" s="1" t="str">
        <v>+1</v>
      </c>
      <c r="R42" s="1" t="str">
        <v>-2</v>
      </c>
      <c r="S42" s="1" t="str">
        <v>-2</v>
      </c>
      <c r="T42" s="2" t="str">
        <f t="shared" si="0"/>
        <v>6'b100110: begin t_symb.A = +2;  t_symb.B = 0; t_symb.C = -2; t_symb.D = -1; end</v>
      </c>
      <c r="U42" s="2" t="str">
        <f t="shared" si="1"/>
        <v>6'b100110: begin t_symb.A = +2;  t_symb.B = 0; t_symb.C = -1; t_symb.D = -2; end</v>
      </c>
      <c r="V42" s="2" t="str">
        <f t="shared" si="2"/>
        <v>6'b100110: begin t_symb.A = +2;  t_symb.B = +1; t_symb.C = -1; t_symb.D = -1; end</v>
      </c>
      <c r="W42" s="2" t="str">
        <f t="shared" si="3"/>
        <v>6'b100110: begin t_symb.A = +2;  t_symb.B = +1; t_symb.C = -2; t_symb.D = -2; end</v>
      </c>
    </row>
    <row r="43" spans="1:23" x14ac:dyDescent="0.25">
      <c r="A43" s="1" t="s">
        <v>140</v>
      </c>
      <c r="B43" s="1" t="str" cm="1">
        <f t="array" ref="B43:S43">_xlfn.TEXTSPLIT(TRIM(A43), {" ",",",", "})</f>
        <v>Normal</v>
      </c>
      <c r="C43" s="1" t="str">
        <v>100111</v>
      </c>
      <c r="D43" s="1" t="str">
        <v>+2</v>
      </c>
      <c r="E43" s="1" t="str">
        <v>-2</v>
      </c>
      <c r="F43" s="1" t="str">
        <v>-2</v>
      </c>
      <c r="G43" s="1" t="str">
        <v>-1</v>
      </c>
      <c r="H43" s="1" t="str">
        <v>+2</v>
      </c>
      <c r="I43" s="1" t="str">
        <v>-2</v>
      </c>
      <c r="J43" s="1" t="str">
        <v>-1</v>
      </c>
      <c r="K43" s="1" t="str">
        <v>-2</v>
      </c>
      <c r="L43" s="1" t="str">
        <v>+2</v>
      </c>
      <c r="M43" s="1" t="str">
        <v>-1</v>
      </c>
      <c r="N43" s="1" t="str">
        <v>-1</v>
      </c>
      <c r="O43" s="1" t="str">
        <v>-1</v>
      </c>
      <c r="P43" s="1" t="str">
        <v>+2</v>
      </c>
      <c r="Q43" s="1" t="str">
        <v>-1</v>
      </c>
      <c r="R43" s="1" t="str">
        <v>-2</v>
      </c>
      <c r="S43" s="1" t="str">
        <v>-2</v>
      </c>
      <c r="T43" s="2" t="str">
        <f t="shared" si="0"/>
        <v>6'b100111: begin t_symb.A = +2;  t_symb.B = -2; t_symb.C = -2; t_symb.D = -1; end</v>
      </c>
      <c r="U43" s="2" t="str">
        <f t="shared" si="1"/>
        <v>6'b100111: begin t_symb.A = +2;  t_symb.B = -2; t_symb.C = -1; t_symb.D = -2; end</v>
      </c>
      <c r="V43" s="2" t="str">
        <f t="shared" si="2"/>
        <v>6'b100111: begin t_symb.A = +2;  t_symb.B = -1; t_symb.C = -1; t_symb.D = -1; end</v>
      </c>
      <c r="W43" s="2" t="str">
        <f t="shared" si="3"/>
        <v>6'b100111: begin t_symb.A = +2;  t_symb.B = -1; t_symb.C = -2; t_symb.D = -2; end</v>
      </c>
    </row>
    <row r="44" spans="1:23" x14ac:dyDescent="0.25">
      <c r="A44" s="1" t="s">
        <v>141</v>
      </c>
      <c r="B44" s="1" t="str" cm="1">
        <f t="array" ref="B44:S44">_xlfn.TEXTSPLIT(TRIM(A44), {" ",",",", "})</f>
        <v>Normal</v>
      </c>
      <c r="C44" s="1" t="str">
        <v>101000</v>
      </c>
      <c r="D44" s="1" t="str">
        <v>0</v>
      </c>
      <c r="E44" s="1" t="str">
        <v>0</v>
      </c>
      <c r="F44" s="1" t="str">
        <v>+2</v>
      </c>
      <c r="G44" s="1" t="str">
        <v>+1</v>
      </c>
      <c r="H44" s="1" t="str">
        <v>+1</v>
      </c>
      <c r="I44" s="1" t="str">
        <v>+1</v>
      </c>
      <c r="J44" s="1" t="str">
        <v>+2</v>
      </c>
      <c r="K44" s="1" t="str">
        <v>+1</v>
      </c>
      <c r="L44" s="1" t="str">
        <v>+1</v>
      </c>
      <c r="M44" s="1" t="str">
        <v>0</v>
      </c>
      <c r="N44" s="1" t="str">
        <v>+2</v>
      </c>
      <c r="O44" s="1" t="str">
        <v>0</v>
      </c>
      <c r="P44" s="1" t="str">
        <v>0</v>
      </c>
      <c r="Q44" s="1" t="str">
        <v>+1</v>
      </c>
      <c r="R44" s="1" t="str">
        <v>+2</v>
      </c>
      <c r="S44" s="1" t="str">
        <v>0</v>
      </c>
      <c r="T44" s="2" t="str">
        <f t="shared" si="0"/>
        <v>6'b101000: begin t_symb.A = 0;  t_symb.B = 0; t_symb.C = +2; t_symb.D = +1; end</v>
      </c>
      <c r="U44" s="2" t="str">
        <f t="shared" si="1"/>
        <v>6'b101000: begin t_symb.A = +1;  t_symb.B = +1; t_symb.C = +2; t_symb.D = +1; end</v>
      </c>
      <c r="V44" s="2" t="str">
        <f t="shared" si="2"/>
        <v>6'b101000: begin t_symb.A = +1;  t_symb.B = 0; t_symb.C = +2; t_symb.D = 0; end</v>
      </c>
      <c r="W44" s="2" t="str">
        <f t="shared" si="3"/>
        <v>6'b101000: begin t_symb.A = 0;  t_symb.B = +1; t_symb.C = +2; t_symb.D = 0; end</v>
      </c>
    </row>
    <row r="45" spans="1:23" x14ac:dyDescent="0.25">
      <c r="A45" s="1" t="s">
        <v>142</v>
      </c>
      <c r="B45" s="1" t="str" cm="1">
        <f t="array" ref="B45:S45">_xlfn.TEXTSPLIT(TRIM(A45), {" ",",",", "})</f>
        <v>Normal</v>
      </c>
      <c r="C45" s="1" t="str">
        <v>101001</v>
      </c>
      <c r="D45" s="1" t="str">
        <v>-2</v>
      </c>
      <c r="E45" s="1" t="str">
        <v>0</v>
      </c>
      <c r="F45" s="1" t="str">
        <v>+2</v>
      </c>
      <c r="G45" s="1" t="str">
        <v>+1</v>
      </c>
      <c r="H45" s="1" t="str">
        <v>-1</v>
      </c>
      <c r="I45" s="1" t="str">
        <v>+1</v>
      </c>
      <c r="J45" s="1" t="str">
        <v>+2</v>
      </c>
      <c r="K45" s="1" t="str">
        <v>+1</v>
      </c>
      <c r="L45" s="1" t="str">
        <v>-1</v>
      </c>
      <c r="M45" s="1" t="str">
        <v>0</v>
      </c>
      <c r="N45" s="1" t="str">
        <v>+2</v>
      </c>
      <c r="O45" s="1" t="str">
        <v>0</v>
      </c>
      <c r="P45" s="1" t="str">
        <v>-2</v>
      </c>
      <c r="Q45" s="1" t="str">
        <v>+1</v>
      </c>
      <c r="R45" s="1" t="str">
        <v>+2</v>
      </c>
      <c r="S45" s="1" t="str">
        <v>0</v>
      </c>
      <c r="T45" s="2" t="str">
        <f t="shared" si="0"/>
        <v>6'b101001: begin t_symb.A = -2;  t_symb.B = 0; t_symb.C = +2; t_symb.D = +1; end</v>
      </c>
      <c r="U45" s="2" t="str">
        <f t="shared" si="1"/>
        <v>6'b101001: begin t_symb.A = -1;  t_symb.B = +1; t_symb.C = +2; t_symb.D = +1; end</v>
      </c>
      <c r="V45" s="2" t="str">
        <f t="shared" si="2"/>
        <v>6'b101001: begin t_symb.A = -1;  t_symb.B = 0; t_symb.C = +2; t_symb.D = 0; end</v>
      </c>
      <c r="W45" s="2" t="str">
        <f t="shared" si="3"/>
        <v>6'b101001: begin t_symb.A = -2;  t_symb.B = +1; t_symb.C = +2; t_symb.D = 0; end</v>
      </c>
    </row>
    <row r="46" spans="1:23" x14ac:dyDescent="0.25">
      <c r="A46" s="1" t="s">
        <v>143</v>
      </c>
      <c r="B46" s="1" t="str" cm="1">
        <f t="array" ref="B46:S46">_xlfn.TEXTSPLIT(TRIM(A46), {" ",",",", "})</f>
        <v>Normal</v>
      </c>
      <c r="C46" s="1" t="str">
        <v>101010</v>
      </c>
      <c r="D46" s="1" t="str">
        <v>0</v>
      </c>
      <c r="E46" s="1" t="str">
        <v>-2</v>
      </c>
      <c r="F46" s="1" t="str">
        <v>+2</v>
      </c>
      <c r="G46" s="1" t="str">
        <v>+1</v>
      </c>
      <c r="H46" s="1" t="str">
        <v>+1</v>
      </c>
      <c r="I46" s="1" t="str">
        <v>-1</v>
      </c>
      <c r="J46" s="1" t="str">
        <v>+2</v>
      </c>
      <c r="K46" s="1" t="str">
        <v>+1</v>
      </c>
      <c r="L46" s="1" t="str">
        <v>+1</v>
      </c>
      <c r="M46" s="1" t="str">
        <v>-2</v>
      </c>
      <c r="N46" s="1" t="str">
        <v>+2</v>
      </c>
      <c r="O46" s="1" t="str">
        <v>0</v>
      </c>
      <c r="P46" s="1" t="str">
        <v>0</v>
      </c>
      <c r="Q46" s="1" t="str">
        <v>-1</v>
      </c>
      <c r="R46" s="1" t="str">
        <v>+2</v>
      </c>
      <c r="S46" s="1" t="str">
        <v>0</v>
      </c>
      <c r="T46" s="2" t="str">
        <f t="shared" si="0"/>
        <v>6'b101010: begin t_symb.A = 0;  t_symb.B = -2; t_symb.C = +2; t_symb.D = +1; end</v>
      </c>
      <c r="U46" s="2" t="str">
        <f t="shared" si="1"/>
        <v>6'b101010: begin t_symb.A = +1;  t_symb.B = -1; t_symb.C = +2; t_symb.D = +1; end</v>
      </c>
      <c r="V46" s="2" t="str">
        <f t="shared" si="2"/>
        <v>6'b101010: begin t_symb.A = +1;  t_symb.B = -2; t_symb.C = +2; t_symb.D = 0; end</v>
      </c>
      <c r="W46" s="2" t="str">
        <f t="shared" si="3"/>
        <v>6'b101010: begin t_symb.A = 0;  t_symb.B = -1; t_symb.C = +2; t_symb.D = 0; end</v>
      </c>
    </row>
    <row r="47" spans="1:23" x14ac:dyDescent="0.25">
      <c r="A47" s="1" t="s">
        <v>144</v>
      </c>
      <c r="B47" s="1" t="str" cm="1">
        <f t="array" ref="B47:S47">_xlfn.TEXTSPLIT(TRIM(A47), {" ",",",", "})</f>
        <v>Normal</v>
      </c>
      <c r="C47" s="1" t="str">
        <v>101011</v>
      </c>
      <c r="D47" s="1" t="str">
        <v>-2</v>
      </c>
      <c r="E47" s="1" t="str">
        <v>-2</v>
      </c>
      <c r="F47" s="1" t="str">
        <v>+2</v>
      </c>
      <c r="G47" s="1" t="str">
        <v>+1</v>
      </c>
      <c r="H47" s="1" t="str">
        <v>-1</v>
      </c>
      <c r="I47" s="1" t="str">
        <v>-1</v>
      </c>
      <c r="J47" s="1" t="str">
        <v>+2</v>
      </c>
      <c r="K47" s="1" t="str">
        <v>+1</v>
      </c>
      <c r="L47" s="1" t="str">
        <v>-1</v>
      </c>
      <c r="M47" s="1" t="str">
        <v>-2</v>
      </c>
      <c r="N47" s="1" t="str">
        <v>+2</v>
      </c>
      <c r="O47" s="1" t="str">
        <v>0</v>
      </c>
      <c r="P47" s="1" t="str">
        <v>-2</v>
      </c>
      <c r="Q47" s="1" t="str">
        <v>-1</v>
      </c>
      <c r="R47" s="1" t="str">
        <v>+2</v>
      </c>
      <c r="S47" s="1" t="str">
        <v>0</v>
      </c>
      <c r="T47" s="2" t="str">
        <f t="shared" si="0"/>
        <v>6'b101011: begin t_symb.A = -2;  t_symb.B = -2; t_symb.C = +2; t_symb.D = +1; end</v>
      </c>
      <c r="U47" s="2" t="str">
        <f t="shared" si="1"/>
        <v>6'b101011: begin t_symb.A = -1;  t_symb.B = -1; t_symb.C = +2; t_symb.D = +1; end</v>
      </c>
      <c r="V47" s="2" t="str">
        <f t="shared" si="2"/>
        <v>6'b101011: begin t_symb.A = -1;  t_symb.B = -2; t_symb.C = +2; t_symb.D = 0; end</v>
      </c>
      <c r="W47" s="2" t="str">
        <f t="shared" si="3"/>
        <v>6'b101011: begin t_symb.A = -2;  t_symb.B = -1; t_symb.C = +2; t_symb.D = 0; end</v>
      </c>
    </row>
    <row r="48" spans="1:23" x14ac:dyDescent="0.25">
      <c r="A48" s="1" t="s">
        <v>145</v>
      </c>
      <c r="B48" s="1" t="str" cm="1">
        <f t="array" ref="B48:S48">_xlfn.TEXTSPLIT(TRIM(A48), {" ",",",", "})</f>
        <v>Normal</v>
      </c>
      <c r="C48" s="1" t="str">
        <v>101100</v>
      </c>
      <c r="D48" s="1" t="str">
        <v>0</v>
      </c>
      <c r="E48" s="1" t="str">
        <v>0</v>
      </c>
      <c r="F48" s="1" t="str">
        <v>+2</v>
      </c>
      <c r="G48" s="1" t="str">
        <v>-1</v>
      </c>
      <c r="H48" s="1" t="str">
        <v>+1</v>
      </c>
      <c r="I48" s="1" t="str">
        <v>+1</v>
      </c>
      <c r="J48" s="1" t="str">
        <v>+2</v>
      </c>
      <c r="K48" s="1" t="str">
        <v>-1</v>
      </c>
      <c r="L48" s="1" t="str">
        <v>+1</v>
      </c>
      <c r="M48" s="1" t="str">
        <v>0</v>
      </c>
      <c r="N48" s="1" t="str">
        <v>+2</v>
      </c>
      <c r="O48" s="1" t="str">
        <v>-2</v>
      </c>
      <c r="P48" s="1" t="str">
        <v>0</v>
      </c>
      <c r="Q48" s="1" t="str">
        <v>+1</v>
      </c>
      <c r="R48" s="1" t="str">
        <v>+2</v>
      </c>
      <c r="S48" s="1" t="str">
        <v>-2</v>
      </c>
      <c r="T48" s="2" t="str">
        <f t="shared" si="0"/>
        <v>6'b101100: begin t_symb.A = 0;  t_symb.B = 0; t_symb.C = +2; t_symb.D = -1; end</v>
      </c>
      <c r="U48" s="2" t="str">
        <f t="shared" si="1"/>
        <v>6'b101100: begin t_symb.A = +1;  t_symb.B = +1; t_symb.C = +2; t_symb.D = -1; end</v>
      </c>
      <c r="V48" s="2" t="str">
        <f t="shared" si="2"/>
        <v>6'b101100: begin t_symb.A = +1;  t_symb.B = 0; t_symb.C = +2; t_symb.D = -2; end</v>
      </c>
      <c r="W48" s="2" t="str">
        <f t="shared" si="3"/>
        <v>6'b101100: begin t_symb.A = 0;  t_symb.B = +1; t_symb.C = +2; t_symb.D = -2; end</v>
      </c>
    </row>
    <row r="49" spans="1:23" x14ac:dyDescent="0.25">
      <c r="A49" s="1" t="s">
        <v>146</v>
      </c>
      <c r="B49" s="1" t="str" cm="1">
        <f t="array" ref="B49:S49">_xlfn.TEXTSPLIT(TRIM(A49), {" ",",",", "})</f>
        <v>Normal</v>
      </c>
      <c r="C49" s="1" t="str">
        <v>101101</v>
      </c>
      <c r="D49" s="1" t="str">
        <v>-2</v>
      </c>
      <c r="E49" s="1" t="str">
        <v>0</v>
      </c>
      <c r="F49" s="1" t="str">
        <v>+2</v>
      </c>
      <c r="G49" s="1" t="str">
        <v>-1</v>
      </c>
      <c r="H49" s="1" t="str">
        <v>-1</v>
      </c>
      <c r="I49" s="1" t="str">
        <v>+1</v>
      </c>
      <c r="J49" s="1" t="str">
        <v>+2</v>
      </c>
      <c r="K49" s="1" t="str">
        <v>-1</v>
      </c>
      <c r="L49" s="1" t="str">
        <v>-1</v>
      </c>
      <c r="M49" s="1" t="str">
        <v>0</v>
      </c>
      <c r="N49" s="1" t="str">
        <v>+2</v>
      </c>
      <c r="O49" s="1" t="str">
        <v>-2</v>
      </c>
      <c r="P49" s="1" t="str">
        <v>-2</v>
      </c>
      <c r="Q49" s="1" t="str">
        <v>+1</v>
      </c>
      <c r="R49" s="1" t="str">
        <v>+2</v>
      </c>
      <c r="S49" s="1" t="str">
        <v>-2</v>
      </c>
      <c r="T49" s="2" t="str">
        <f t="shared" si="0"/>
        <v>6'b101101: begin t_symb.A = -2;  t_symb.B = 0; t_symb.C = +2; t_symb.D = -1; end</v>
      </c>
      <c r="U49" s="2" t="str">
        <f t="shared" si="1"/>
        <v>6'b101101: begin t_symb.A = -1;  t_symb.B = +1; t_symb.C = +2; t_symb.D = -1; end</v>
      </c>
      <c r="V49" s="2" t="str">
        <f t="shared" si="2"/>
        <v>6'b101101: begin t_symb.A = -1;  t_symb.B = 0; t_symb.C = +2; t_symb.D = -2; end</v>
      </c>
      <c r="W49" s="2" t="str">
        <f t="shared" si="3"/>
        <v>6'b101101: begin t_symb.A = -2;  t_symb.B = +1; t_symb.C = +2; t_symb.D = -2; end</v>
      </c>
    </row>
    <row r="50" spans="1:23" x14ac:dyDescent="0.25">
      <c r="A50" s="1" t="s">
        <v>147</v>
      </c>
      <c r="B50" s="1" t="str" cm="1">
        <f t="array" ref="B50:S50">_xlfn.TEXTSPLIT(TRIM(A50), {" ",",",", "})</f>
        <v>Normal</v>
      </c>
      <c r="C50" s="1" t="str">
        <v>101110</v>
      </c>
      <c r="D50" s="1" t="str">
        <v>0</v>
      </c>
      <c r="E50" s="1" t="str">
        <v>-2</v>
      </c>
      <c r="F50" s="1" t="str">
        <v>+2</v>
      </c>
      <c r="G50" s="1" t="str">
        <v>-1</v>
      </c>
      <c r="H50" s="1" t="str">
        <v>+1</v>
      </c>
      <c r="I50" s="1" t="str">
        <v>-1</v>
      </c>
      <c r="J50" s="1" t="str">
        <v>+2</v>
      </c>
      <c r="K50" s="1" t="str">
        <v>-1</v>
      </c>
      <c r="L50" s="1" t="str">
        <v>+1</v>
      </c>
      <c r="M50" s="1" t="str">
        <v>-2</v>
      </c>
      <c r="N50" s="1" t="str">
        <v>+2</v>
      </c>
      <c r="O50" s="1" t="str">
        <v>-2</v>
      </c>
      <c r="P50" s="1" t="str">
        <v>0</v>
      </c>
      <c r="Q50" s="1" t="str">
        <v>-1</v>
      </c>
      <c r="R50" s="1" t="str">
        <v>+2</v>
      </c>
      <c r="S50" s="1" t="str">
        <v>-2</v>
      </c>
      <c r="T50" s="2" t="str">
        <f t="shared" si="0"/>
        <v>6'b101110: begin t_symb.A = 0;  t_symb.B = -2; t_symb.C = +2; t_symb.D = -1; end</v>
      </c>
      <c r="U50" s="2" t="str">
        <f t="shared" si="1"/>
        <v>6'b101110: begin t_symb.A = +1;  t_symb.B = -1; t_symb.C = +2; t_symb.D = -1; end</v>
      </c>
      <c r="V50" s="2" t="str">
        <f t="shared" si="2"/>
        <v>6'b101110: begin t_symb.A = +1;  t_symb.B = -2; t_symb.C = +2; t_symb.D = -2; end</v>
      </c>
      <c r="W50" s="2" t="str">
        <f t="shared" si="3"/>
        <v>6'b101110: begin t_symb.A = 0;  t_symb.B = -1; t_symb.C = +2; t_symb.D = -2; end</v>
      </c>
    </row>
    <row r="51" spans="1:23" x14ac:dyDescent="0.25">
      <c r="A51" s="1" t="s">
        <v>148</v>
      </c>
      <c r="B51" s="1" t="str" cm="1">
        <f t="array" ref="B51:S51">_xlfn.TEXTSPLIT(TRIM(A51), {" ",",",", "})</f>
        <v>Normal</v>
      </c>
      <c r="C51" s="1" t="str">
        <v>101111</v>
      </c>
      <c r="D51" s="1" t="str">
        <v>-2</v>
      </c>
      <c r="E51" s="1" t="str">
        <v>-2</v>
      </c>
      <c r="F51" s="1" t="str">
        <v>+2</v>
      </c>
      <c r="G51" s="1" t="str">
        <v>-1</v>
      </c>
      <c r="H51" s="1" t="str">
        <v>-1</v>
      </c>
      <c r="I51" s="1" t="str">
        <v>-1</v>
      </c>
      <c r="J51" s="1" t="str">
        <v>+2</v>
      </c>
      <c r="K51" s="1" t="str">
        <v>-1</v>
      </c>
      <c r="L51" s="1" t="str">
        <v>-1</v>
      </c>
      <c r="M51" s="1" t="str">
        <v>-2</v>
      </c>
      <c r="N51" s="1" t="str">
        <v>+2</v>
      </c>
      <c r="O51" s="1" t="str">
        <v>-2</v>
      </c>
      <c r="P51" s="1" t="str">
        <v>-2</v>
      </c>
      <c r="Q51" s="1" t="str">
        <v>-1</v>
      </c>
      <c r="R51" s="1" t="str">
        <v>+2</v>
      </c>
      <c r="S51" s="1" t="str">
        <v>-2</v>
      </c>
      <c r="T51" s="2" t="str">
        <f t="shared" si="0"/>
        <v>6'b101111: begin t_symb.A = -2;  t_symb.B = -2; t_symb.C = +2; t_symb.D = -1; end</v>
      </c>
      <c r="U51" s="2" t="str">
        <f t="shared" si="1"/>
        <v>6'b101111: begin t_symb.A = -1;  t_symb.B = -1; t_symb.C = +2; t_symb.D = -1; end</v>
      </c>
      <c r="V51" s="2" t="str">
        <f t="shared" si="2"/>
        <v>6'b101111: begin t_symb.A = -1;  t_symb.B = -2; t_symb.C = +2; t_symb.D = -2; end</v>
      </c>
      <c r="W51" s="2" t="str">
        <f t="shared" si="3"/>
        <v>6'b101111: begin t_symb.A = -2;  t_symb.B = -1; t_symb.C = +2; t_symb.D = -2; end</v>
      </c>
    </row>
    <row r="52" spans="1:23" x14ac:dyDescent="0.25">
      <c r="A52" s="1" t="s">
        <v>149</v>
      </c>
      <c r="B52" s="1" t="str" cm="1">
        <f t="array" ref="B52:S52">_xlfn.TEXTSPLIT(TRIM(A52), {" ",",",", "})</f>
        <v>Normal</v>
      </c>
      <c r="C52" s="1" t="str">
        <v>110000</v>
      </c>
      <c r="D52" s="1" t="str">
        <v>0</v>
      </c>
      <c r="E52" s="1" t="str">
        <v>+2</v>
      </c>
      <c r="F52" s="1" t="str">
        <v>0</v>
      </c>
      <c r="G52" s="1" t="str">
        <v>+1</v>
      </c>
      <c r="H52" s="1" t="str">
        <v>0</v>
      </c>
      <c r="I52" s="1" t="str">
        <v>+2</v>
      </c>
      <c r="J52" s="1" t="str">
        <v>+1</v>
      </c>
      <c r="K52" s="1" t="str">
        <v>0</v>
      </c>
      <c r="L52" s="1" t="str">
        <v>+1</v>
      </c>
      <c r="M52" s="1" t="str">
        <v>+2</v>
      </c>
      <c r="N52" s="1" t="str">
        <v>0</v>
      </c>
      <c r="O52" s="1" t="str">
        <v>0</v>
      </c>
      <c r="P52" s="1" t="str">
        <v>+1</v>
      </c>
      <c r="Q52" s="1" t="str">
        <v>+2</v>
      </c>
      <c r="R52" s="1" t="str">
        <v>+1</v>
      </c>
      <c r="S52" s="1" t="str">
        <v>+1</v>
      </c>
      <c r="T52" s="2" t="str">
        <f t="shared" si="0"/>
        <v>6'b110000: begin t_symb.A = 0;  t_symb.B = +2; t_symb.C = 0; t_symb.D = +1; end</v>
      </c>
      <c r="U52" s="2" t="str">
        <f t="shared" si="1"/>
        <v>6'b110000: begin t_symb.A = 0;  t_symb.B = +2; t_symb.C = +1; t_symb.D = 0; end</v>
      </c>
      <c r="V52" s="2" t="str">
        <f t="shared" si="2"/>
        <v>6'b110000: begin t_symb.A = +1;  t_symb.B = +2; t_symb.C = 0; t_symb.D = 0; end</v>
      </c>
      <c r="W52" s="2" t="str">
        <f t="shared" si="3"/>
        <v>6'b110000: begin t_symb.A = +1;  t_symb.B = +2; t_symb.C = +1; t_symb.D = +1; end</v>
      </c>
    </row>
    <row r="53" spans="1:23" x14ac:dyDescent="0.25">
      <c r="A53" s="1" t="s">
        <v>150</v>
      </c>
      <c r="B53" s="1" t="str" cm="1">
        <f t="array" ref="B53:S53">_xlfn.TEXTSPLIT(TRIM(A53), {" ",",",", "})</f>
        <v>Normal</v>
      </c>
      <c r="C53" s="1" t="str">
        <v>110001</v>
      </c>
      <c r="D53" s="1" t="str">
        <v>-2</v>
      </c>
      <c r="E53" s="1" t="str">
        <v>+2</v>
      </c>
      <c r="F53" s="1" t="str">
        <v>0</v>
      </c>
      <c r="G53" s="1" t="str">
        <v>+1</v>
      </c>
      <c r="H53" s="1" t="str">
        <v>-2</v>
      </c>
      <c r="I53" s="1" t="str">
        <v>+2</v>
      </c>
      <c r="J53" s="1" t="str">
        <v>+1</v>
      </c>
      <c r="K53" s="1" t="str">
        <v>0</v>
      </c>
      <c r="L53" s="1" t="str">
        <v>-1</v>
      </c>
      <c r="M53" s="1" t="str">
        <v>+2</v>
      </c>
      <c r="N53" s="1" t="str">
        <v>0</v>
      </c>
      <c r="O53" s="1" t="str">
        <v>0</v>
      </c>
      <c r="P53" s="1" t="str">
        <v>-1</v>
      </c>
      <c r="Q53" s="1" t="str">
        <v>+2</v>
      </c>
      <c r="R53" s="1" t="str">
        <v>+1</v>
      </c>
      <c r="S53" s="1" t="str">
        <v>+1</v>
      </c>
      <c r="T53" s="2" t="str">
        <f t="shared" si="0"/>
        <v>6'b110001: begin t_symb.A = -2;  t_symb.B = +2; t_symb.C = 0; t_symb.D = +1; end</v>
      </c>
      <c r="U53" s="2" t="str">
        <f t="shared" si="1"/>
        <v>6'b110001: begin t_symb.A = -2;  t_symb.B = +2; t_symb.C = +1; t_symb.D = 0; end</v>
      </c>
      <c r="V53" s="2" t="str">
        <f t="shared" si="2"/>
        <v>6'b110001: begin t_symb.A = -1;  t_symb.B = +2; t_symb.C = 0; t_symb.D = 0; end</v>
      </c>
      <c r="W53" s="2" t="str">
        <f t="shared" si="3"/>
        <v>6'b110001: begin t_symb.A = -1;  t_symb.B = +2; t_symb.C = +1; t_symb.D = +1; end</v>
      </c>
    </row>
    <row r="54" spans="1:23" x14ac:dyDescent="0.25">
      <c r="A54" s="1" t="s">
        <v>151</v>
      </c>
      <c r="B54" s="1" t="str" cm="1">
        <f t="array" ref="B54:S54">_xlfn.TEXTSPLIT(TRIM(A54), {" ",",",", "})</f>
        <v>Normal</v>
      </c>
      <c r="C54" s="1" t="str">
        <v>110010</v>
      </c>
      <c r="D54" s="1" t="str">
        <v>0</v>
      </c>
      <c r="E54" s="1" t="str">
        <v>+2</v>
      </c>
      <c r="F54" s="1" t="str">
        <v>-2</v>
      </c>
      <c r="G54" s="1" t="str">
        <v>+1</v>
      </c>
      <c r="H54" s="1" t="str">
        <v>0</v>
      </c>
      <c r="I54" s="1" t="str">
        <v>+2</v>
      </c>
      <c r="J54" s="1" t="str">
        <v>-1</v>
      </c>
      <c r="K54" s="1" t="str">
        <v>0</v>
      </c>
      <c r="L54" s="1" t="str">
        <v>+1</v>
      </c>
      <c r="M54" s="1" t="str">
        <v>+2</v>
      </c>
      <c r="N54" s="1" t="str">
        <v>-2</v>
      </c>
      <c r="O54" s="1" t="str">
        <v>0</v>
      </c>
      <c r="P54" s="1" t="str">
        <v>+1</v>
      </c>
      <c r="Q54" s="1" t="str">
        <v>+2</v>
      </c>
      <c r="R54" s="1" t="str">
        <v>-1</v>
      </c>
      <c r="S54" s="1" t="str">
        <v>+1</v>
      </c>
      <c r="T54" s="2" t="str">
        <f t="shared" si="0"/>
        <v>6'b110010: begin t_symb.A = 0;  t_symb.B = +2; t_symb.C = -2; t_symb.D = +1; end</v>
      </c>
      <c r="U54" s="2" t="str">
        <f t="shared" si="1"/>
        <v>6'b110010: begin t_symb.A = 0;  t_symb.B = +2; t_symb.C = -1; t_symb.D = 0; end</v>
      </c>
      <c r="V54" s="2" t="str">
        <f t="shared" si="2"/>
        <v>6'b110010: begin t_symb.A = +1;  t_symb.B = +2; t_symb.C = -2; t_symb.D = 0; end</v>
      </c>
      <c r="W54" s="2" t="str">
        <f t="shared" si="3"/>
        <v>6'b110010: begin t_symb.A = +1;  t_symb.B = +2; t_symb.C = -1; t_symb.D = +1; end</v>
      </c>
    </row>
    <row r="55" spans="1:23" x14ac:dyDescent="0.25">
      <c r="A55" s="1" t="s">
        <v>152</v>
      </c>
      <c r="B55" s="1" t="str" cm="1">
        <f t="array" ref="B55:S55">_xlfn.TEXTSPLIT(TRIM(A55), {" ",",",", "})</f>
        <v>Normal</v>
      </c>
      <c r="C55" s="1" t="str">
        <v>110011</v>
      </c>
      <c r="D55" s="1" t="str">
        <v>-2</v>
      </c>
      <c r="E55" s="1" t="str">
        <v>+2</v>
      </c>
      <c r="F55" s="1" t="str">
        <v>-2</v>
      </c>
      <c r="G55" s="1" t="str">
        <v>+1</v>
      </c>
      <c r="H55" s="1" t="str">
        <v>-2</v>
      </c>
      <c r="I55" s="1" t="str">
        <v>+2</v>
      </c>
      <c r="J55" s="1" t="str">
        <v>-1</v>
      </c>
      <c r="K55" s="1" t="str">
        <v>0</v>
      </c>
      <c r="L55" s="1" t="str">
        <v>-1</v>
      </c>
      <c r="M55" s="1" t="str">
        <v>+2</v>
      </c>
      <c r="N55" s="1" t="str">
        <v>-2</v>
      </c>
      <c r="O55" s="1" t="str">
        <v>0</v>
      </c>
      <c r="P55" s="1" t="str">
        <v>-1</v>
      </c>
      <c r="Q55" s="1" t="str">
        <v>+2</v>
      </c>
      <c r="R55" s="1" t="str">
        <v>-1</v>
      </c>
      <c r="S55" s="1" t="str">
        <v>+1</v>
      </c>
      <c r="T55" s="2" t="str">
        <f t="shared" si="0"/>
        <v>6'b110011: begin t_symb.A = -2;  t_symb.B = +2; t_symb.C = -2; t_symb.D = +1; end</v>
      </c>
      <c r="U55" s="2" t="str">
        <f t="shared" si="1"/>
        <v>6'b110011: begin t_symb.A = -2;  t_symb.B = +2; t_symb.C = -1; t_symb.D = 0; end</v>
      </c>
      <c r="V55" s="2" t="str">
        <f t="shared" si="2"/>
        <v>6'b110011: begin t_symb.A = -1;  t_symb.B = +2; t_symb.C = -2; t_symb.D = 0; end</v>
      </c>
      <c r="W55" s="2" t="str">
        <f t="shared" si="3"/>
        <v>6'b110011: begin t_symb.A = -1;  t_symb.B = +2; t_symb.C = -1; t_symb.D = +1; end</v>
      </c>
    </row>
    <row r="56" spans="1:23" x14ac:dyDescent="0.25">
      <c r="A56" s="1" t="s">
        <v>153</v>
      </c>
      <c r="B56" s="1" t="str" cm="1">
        <f t="array" ref="B56:S56">_xlfn.TEXTSPLIT(TRIM(A56), {" ",",",", "})</f>
        <v>Normal</v>
      </c>
      <c r="C56" s="1" t="str">
        <v>110100</v>
      </c>
      <c r="D56" s="1" t="str">
        <v>0</v>
      </c>
      <c r="E56" s="1" t="str">
        <v>+2</v>
      </c>
      <c r="F56" s="1" t="str">
        <v>0</v>
      </c>
      <c r="G56" s="1" t="str">
        <v>-1</v>
      </c>
      <c r="H56" s="1" t="str">
        <v>0</v>
      </c>
      <c r="I56" s="1" t="str">
        <v>+2</v>
      </c>
      <c r="J56" s="1" t="str">
        <v>+1</v>
      </c>
      <c r="K56" s="1" t="str">
        <v>-2</v>
      </c>
      <c r="L56" s="1" t="str">
        <v>+1</v>
      </c>
      <c r="M56" s="1" t="str">
        <v>+2</v>
      </c>
      <c r="N56" s="1" t="str">
        <v>0</v>
      </c>
      <c r="O56" s="1" t="str">
        <v>-2</v>
      </c>
      <c r="P56" s="1" t="str">
        <v>+1</v>
      </c>
      <c r="Q56" s="1" t="str">
        <v>+2</v>
      </c>
      <c r="R56" s="1" t="str">
        <v>+1</v>
      </c>
      <c r="S56" s="1" t="str">
        <v>-1</v>
      </c>
      <c r="T56" s="2" t="str">
        <f t="shared" si="0"/>
        <v>6'b110100: begin t_symb.A = 0;  t_symb.B = +2; t_symb.C = 0; t_symb.D = -1; end</v>
      </c>
      <c r="U56" s="2" t="str">
        <f t="shared" si="1"/>
        <v>6'b110100: begin t_symb.A = 0;  t_symb.B = +2; t_symb.C = +1; t_symb.D = -2; end</v>
      </c>
      <c r="V56" s="2" t="str">
        <f t="shared" si="2"/>
        <v>6'b110100: begin t_symb.A = +1;  t_symb.B = +2; t_symb.C = 0; t_symb.D = -2; end</v>
      </c>
      <c r="W56" s="2" t="str">
        <f t="shared" si="3"/>
        <v>6'b110100: begin t_symb.A = +1;  t_symb.B = +2; t_symb.C = +1; t_symb.D = -1; end</v>
      </c>
    </row>
    <row r="57" spans="1:23" x14ac:dyDescent="0.25">
      <c r="A57" s="1" t="s">
        <v>154</v>
      </c>
      <c r="B57" s="1" t="str" cm="1">
        <f t="array" ref="B57:S57">_xlfn.TEXTSPLIT(TRIM(A57), {" ",",",", "})</f>
        <v>Normal</v>
      </c>
      <c r="C57" s="1" t="str">
        <v>110101</v>
      </c>
      <c r="D57" s="1" t="str">
        <v>-2</v>
      </c>
      <c r="E57" s="1" t="str">
        <v>+2</v>
      </c>
      <c r="F57" s="1" t="str">
        <v>0</v>
      </c>
      <c r="G57" s="1" t="str">
        <v>-1</v>
      </c>
      <c r="H57" s="1" t="str">
        <v>-2</v>
      </c>
      <c r="I57" s="1" t="str">
        <v>+2</v>
      </c>
      <c r="J57" s="1" t="str">
        <v>+1</v>
      </c>
      <c r="K57" s="1" t="str">
        <v>-2</v>
      </c>
      <c r="L57" s="1" t="str">
        <v>-1</v>
      </c>
      <c r="M57" s="1" t="str">
        <v>+2</v>
      </c>
      <c r="N57" s="1" t="str">
        <v>0</v>
      </c>
      <c r="O57" s="1" t="str">
        <v>-2</v>
      </c>
      <c r="P57" s="1" t="str">
        <v>-1</v>
      </c>
      <c r="Q57" s="1" t="str">
        <v>+2</v>
      </c>
      <c r="R57" s="1" t="str">
        <v>+1</v>
      </c>
      <c r="S57" s="1" t="str">
        <v>-1</v>
      </c>
      <c r="T57" s="2" t="str">
        <f t="shared" si="0"/>
        <v>6'b110101: begin t_symb.A = -2;  t_symb.B = +2; t_symb.C = 0; t_symb.D = -1; end</v>
      </c>
      <c r="U57" s="2" t="str">
        <f t="shared" si="1"/>
        <v>6'b110101: begin t_symb.A = -2;  t_symb.B = +2; t_symb.C = +1; t_symb.D = -2; end</v>
      </c>
      <c r="V57" s="2" t="str">
        <f t="shared" si="2"/>
        <v>6'b110101: begin t_symb.A = -1;  t_symb.B = +2; t_symb.C = 0; t_symb.D = -2; end</v>
      </c>
      <c r="W57" s="2" t="str">
        <f t="shared" si="3"/>
        <v>6'b110101: begin t_symb.A = -1;  t_symb.B = +2; t_symb.C = +1; t_symb.D = -1; end</v>
      </c>
    </row>
    <row r="58" spans="1:23" x14ac:dyDescent="0.25">
      <c r="A58" s="1" t="s">
        <v>155</v>
      </c>
      <c r="B58" s="1" t="str" cm="1">
        <f t="array" ref="B58:S58">_xlfn.TEXTSPLIT(TRIM(A58), {" ",",",", "})</f>
        <v>Normal</v>
      </c>
      <c r="C58" s="1" t="str">
        <v>110110</v>
      </c>
      <c r="D58" s="1" t="str">
        <v>0</v>
      </c>
      <c r="E58" s="1" t="str">
        <v>+2</v>
      </c>
      <c r="F58" s="1" t="str">
        <v>-2</v>
      </c>
      <c r="G58" s="1" t="str">
        <v>-1</v>
      </c>
      <c r="H58" s="1" t="str">
        <v>0</v>
      </c>
      <c r="I58" s="1" t="str">
        <v>+2</v>
      </c>
      <c r="J58" s="1" t="str">
        <v>-1</v>
      </c>
      <c r="K58" s="1" t="str">
        <v>-2</v>
      </c>
      <c r="L58" s="1" t="str">
        <v>+1</v>
      </c>
      <c r="M58" s="1" t="str">
        <v>+2</v>
      </c>
      <c r="N58" s="1" t="str">
        <v>-2</v>
      </c>
      <c r="O58" s="1" t="str">
        <v>-2</v>
      </c>
      <c r="P58" s="1" t="str">
        <v>+1</v>
      </c>
      <c r="Q58" s="1" t="str">
        <v>+2</v>
      </c>
      <c r="R58" s="1" t="str">
        <v>-1</v>
      </c>
      <c r="S58" s="1" t="str">
        <v>-1</v>
      </c>
      <c r="T58" s="2" t="str">
        <f t="shared" si="0"/>
        <v>6'b110110: begin t_symb.A = 0;  t_symb.B = +2; t_symb.C = -2; t_symb.D = -1; end</v>
      </c>
      <c r="U58" s="2" t="str">
        <f t="shared" si="1"/>
        <v>6'b110110: begin t_symb.A = 0;  t_symb.B = +2; t_symb.C = -1; t_symb.D = -2; end</v>
      </c>
      <c r="V58" s="2" t="str">
        <f t="shared" si="2"/>
        <v>6'b110110: begin t_symb.A = +1;  t_symb.B = +2; t_symb.C = -2; t_symb.D = -2; end</v>
      </c>
      <c r="W58" s="2" t="str">
        <f t="shared" si="3"/>
        <v>6'b110110: begin t_symb.A = +1;  t_symb.B = +2; t_symb.C = -1; t_symb.D = -1; end</v>
      </c>
    </row>
    <row r="59" spans="1:23" x14ac:dyDescent="0.25">
      <c r="A59" s="1" t="s">
        <v>156</v>
      </c>
      <c r="B59" s="1" t="str" cm="1">
        <f t="array" ref="B59:S59">_xlfn.TEXTSPLIT(TRIM(A59), {" ",",",", "})</f>
        <v>Normal</v>
      </c>
      <c r="C59" s="1" t="str">
        <v>110111</v>
      </c>
      <c r="D59" s="1" t="str">
        <v>-2</v>
      </c>
      <c r="E59" s="1" t="str">
        <v>+2</v>
      </c>
      <c r="F59" s="1" t="str">
        <v>-2</v>
      </c>
      <c r="G59" s="1" t="str">
        <v>-1</v>
      </c>
      <c r="H59" s="1" t="str">
        <v>-2</v>
      </c>
      <c r="I59" s="1" t="str">
        <v>+2</v>
      </c>
      <c r="J59" s="1" t="str">
        <v>-1</v>
      </c>
      <c r="K59" s="1" t="str">
        <v>-2</v>
      </c>
      <c r="L59" s="1" t="str">
        <v>-1</v>
      </c>
      <c r="M59" s="1" t="str">
        <v>+2</v>
      </c>
      <c r="N59" s="1" t="str">
        <v>-2</v>
      </c>
      <c r="O59" s="1" t="str">
        <v>-2</v>
      </c>
      <c r="P59" s="1" t="str">
        <v>-1</v>
      </c>
      <c r="Q59" s="1" t="str">
        <v>+2</v>
      </c>
      <c r="R59" s="1" t="str">
        <v>-1</v>
      </c>
      <c r="S59" s="1" t="str">
        <v>-1</v>
      </c>
      <c r="T59" s="2" t="str">
        <f t="shared" si="0"/>
        <v>6'b110111: begin t_symb.A = -2;  t_symb.B = +2; t_symb.C = -2; t_symb.D = -1; end</v>
      </c>
      <c r="U59" s="2" t="str">
        <f t="shared" si="1"/>
        <v>6'b110111: begin t_symb.A = -2;  t_symb.B = +2; t_symb.C = -1; t_symb.D = -2; end</v>
      </c>
      <c r="V59" s="2" t="str">
        <f t="shared" si="2"/>
        <v>6'b110111: begin t_symb.A = -1;  t_symb.B = +2; t_symb.C = -2; t_symb.D = -2; end</v>
      </c>
      <c r="W59" s="2" t="str">
        <f t="shared" si="3"/>
        <v>6'b110111: begin t_symb.A = -1;  t_symb.B = +2; t_symb.C = -1; t_symb.D = -1; end</v>
      </c>
    </row>
    <row r="60" spans="1:23" x14ac:dyDescent="0.25">
      <c r="A60" s="1" t="s">
        <v>157</v>
      </c>
      <c r="B60" s="1" t="str" cm="1">
        <f t="array" ref="B60:S60">_xlfn.TEXTSPLIT(TRIM(A60), {" ",",",", "})</f>
        <v>Normal</v>
      </c>
      <c r="C60" s="1" t="str">
        <v>111000</v>
      </c>
      <c r="D60" s="1" t="str">
        <v>+1</v>
      </c>
      <c r="E60" s="1" t="str">
        <v>+1</v>
      </c>
      <c r="F60" s="1" t="str">
        <v>+1</v>
      </c>
      <c r="G60" s="1" t="str">
        <v>+2</v>
      </c>
      <c r="H60" s="1" t="str">
        <v>0</v>
      </c>
      <c r="I60" s="1" t="str">
        <v>0</v>
      </c>
      <c r="J60" s="1" t="str">
        <v>+1</v>
      </c>
      <c r="K60" s="1" t="str">
        <v>+2</v>
      </c>
      <c r="L60" s="1" t="str">
        <v>+1</v>
      </c>
      <c r="M60" s="1" t="str">
        <v>0</v>
      </c>
      <c r="N60" s="1" t="str">
        <v>0</v>
      </c>
      <c r="O60" s="1" t="str">
        <v>+2</v>
      </c>
      <c r="P60" s="1" t="str">
        <v>0</v>
      </c>
      <c r="Q60" s="1" t="str">
        <v>+1</v>
      </c>
      <c r="R60" s="1" t="str">
        <v>0</v>
      </c>
      <c r="S60" s="1" t="str">
        <v>+2</v>
      </c>
      <c r="T60" s="2" t="str">
        <f t="shared" si="0"/>
        <v>6'b111000: begin t_symb.A = +1;  t_symb.B = +1; t_symb.C = +1; t_symb.D = +2; end</v>
      </c>
      <c r="U60" s="2" t="str">
        <f t="shared" si="1"/>
        <v>6'b111000: begin t_symb.A = 0;  t_symb.B = 0; t_symb.C = +1; t_symb.D = +2; end</v>
      </c>
      <c r="V60" s="2" t="str">
        <f t="shared" si="2"/>
        <v>6'b111000: begin t_symb.A = +1;  t_symb.B = 0; t_symb.C = 0; t_symb.D = +2; end</v>
      </c>
      <c r="W60" s="2" t="str">
        <f t="shared" si="3"/>
        <v>6'b111000: begin t_symb.A = 0;  t_symb.B = +1; t_symb.C = 0; t_symb.D = +2; end</v>
      </c>
    </row>
    <row r="61" spans="1:23" x14ac:dyDescent="0.25">
      <c r="A61" s="1" t="s">
        <v>158</v>
      </c>
      <c r="B61" s="1" t="str" cm="1">
        <f t="array" ref="B61:S61">_xlfn.TEXTSPLIT(TRIM(A61), {" ",",",", "})</f>
        <v>Normal</v>
      </c>
      <c r="C61" s="1" t="str">
        <v>111001</v>
      </c>
      <c r="D61" s="1" t="str">
        <v>-1</v>
      </c>
      <c r="E61" s="1" t="str">
        <v>+1</v>
      </c>
      <c r="F61" s="1" t="str">
        <v>+1</v>
      </c>
      <c r="G61" s="1" t="str">
        <v>+2</v>
      </c>
      <c r="H61" s="1" t="str">
        <v>-2</v>
      </c>
      <c r="I61" s="1" t="str">
        <v>0</v>
      </c>
      <c r="J61" s="1" t="str">
        <v>+1</v>
      </c>
      <c r="K61" s="1" t="str">
        <v>+2</v>
      </c>
      <c r="L61" s="1" t="str">
        <v>-1</v>
      </c>
      <c r="M61" s="1" t="str">
        <v>0</v>
      </c>
      <c r="N61" s="1" t="str">
        <v>0</v>
      </c>
      <c r="O61" s="1" t="str">
        <v>+2</v>
      </c>
      <c r="P61" s="1" t="str">
        <v>-2</v>
      </c>
      <c r="Q61" s="1" t="str">
        <v>+1</v>
      </c>
      <c r="R61" s="1" t="str">
        <v>0</v>
      </c>
      <c r="S61" s="1" t="str">
        <v>+2</v>
      </c>
      <c r="T61" s="2" t="str">
        <f t="shared" si="0"/>
        <v>6'b111001: begin t_symb.A = -1;  t_symb.B = +1; t_symb.C = +1; t_symb.D = +2; end</v>
      </c>
      <c r="U61" s="2" t="str">
        <f t="shared" si="1"/>
        <v>6'b111001: begin t_symb.A = -2;  t_symb.B = 0; t_symb.C = +1; t_symb.D = +2; end</v>
      </c>
      <c r="V61" s="2" t="str">
        <f t="shared" si="2"/>
        <v>6'b111001: begin t_symb.A = -1;  t_symb.B = 0; t_symb.C = 0; t_symb.D = +2; end</v>
      </c>
      <c r="W61" s="2" t="str">
        <f t="shared" si="3"/>
        <v>6'b111001: begin t_symb.A = -2;  t_symb.B = +1; t_symb.C = 0; t_symb.D = +2; end</v>
      </c>
    </row>
    <row r="62" spans="1:23" x14ac:dyDescent="0.25">
      <c r="A62" s="1" t="s">
        <v>159</v>
      </c>
      <c r="B62" s="1" t="str" cm="1">
        <f t="array" ref="B62:S62">_xlfn.TEXTSPLIT(TRIM(A62), {" ",",",", "})</f>
        <v>Normal</v>
      </c>
      <c r="C62" s="1" t="str">
        <v>111010</v>
      </c>
      <c r="D62" s="1" t="str">
        <v>+1</v>
      </c>
      <c r="E62" s="1" t="str">
        <v>-1</v>
      </c>
      <c r="F62" s="1" t="str">
        <v>+1</v>
      </c>
      <c r="G62" s="1" t="str">
        <v>+2</v>
      </c>
      <c r="H62" s="1" t="str">
        <v>0</v>
      </c>
      <c r="I62" s="1" t="str">
        <v>-2</v>
      </c>
      <c r="J62" s="1" t="str">
        <v>+1</v>
      </c>
      <c r="K62" s="1" t="str">
        <v>+2</v>
      </c>
      <c r="L62" s="1" t="str">
        <v>+1</v>
      </c>
      <c r="M62" s="1" t="str">
        <v>-2</v>
      </c>
      <c r="N62" s="1" t="str">
        <v>0</v>
      </c>
      <c r="O62" s="1" t="str">
        <v>+2</v>
      </c>
      <c r="P62" s="1" t="str">
        <v>0</v>
      </c>
      <c r="Q62" s="1" t="str">
        <v>-1</v>
      </c>
      <c r="R62" s="1" t="str">
        <v>0</v>
      </c>
      <c r="S62" s="1" t="str">
        <v>+2</v>
      </c>
      <c r="T62" s="2" t="str">
        <f t="shared" si="0"/>
        <v>6'b111010: begin t_symb.A = +1;  t_symb.B = -1; t_symb.C = +1; t_symb.D = +2; end</v>
      </c>
      <c r="U62" s="2" t="str">
        <f t="shared" si="1"/>
        <v>6'b111010: begin t_symb.A = 0;  t_symb.B = -2; t_symb.C = +1; t_symb.D = +2; end</v>
      </c>
      <c r="V62" s="2" t="str">
        <f t="shared" si="2"/>
        <v>6'b111010: begin t_symb.A = +1;  t_symb.B = -2; t_symb.C = 0; t_symb.D = +2; end</v>
      </c>
      <c r="W62" s="2" t="str">
        <f t="shared" si="3"/>
        <v>6'b111010: begin t_symb.A = 0;  t_symb.B = -1; t_symb.C = 0; t_symb.D = +2; end</v>
      </c>
    </row>
    <row r="63" spans="1:23" x14ac:dyDescent="0.25">
      <c r="A63" s="1" t="s">
        <v>160</v>
      </c>
      <c r="B63" s="1" t="str" cm="1">
        <f t="array" ref="B63:S63">_xlfn.TEXTSPLIT(TRIM(A63), {" ",",",", "})</f>
        <v>Normal</v>
      </c>
      <c r="C63" s="1" t="str">
        <v>111011</v>
      </c>
      <c r="D63" s="1" t="str">
        <v>-1</v>
      </c>
      <c r="E63" s="1" t="str">
        <v>-1</v>
      </c>
      <c r="F63" s="1" t="str">
        <v>+1</v>
      </c>
      <c r="G63" s="1" t="str">
        <v>+2</v>
      </c>
      <c r="H63" s="1" t="str">
        <v>-2</v>
      </c>
      <c r="I63" s="1" t="str">
        <v>-2</v>
      </c>
      <c r="J63" s="1" t="str">
        <v>+1</v>
      </c>
      <c r="K63" s="1" t="str">
        <v>+2</v>
      </c>
      <c r="L63" s="1" t="str">
        <v>-1</v>
      </c>
      <c r="M63" s="1" t="str">
        <v>-2</v>
      </c>
      <c r="N63" s="1" t="str">
        <v>0</v>
      </c>
      <c r="O63" s="1" t="str">
        <v>+2</v>
      </c>
      <c r="P63" s="1" t="str">
        <v>-2</v>
      </c>
      <c r="Q63" s="1" t="str">
        <v>-1</v>
      </c>
      <c r="R63" s="1" t="str">
        <v>0</v>
      </c>
      <c r="S63" s="1" t="str">
        <v>+2</v>
      </c>
      <c r="T63" s="2" t="str">
        <f t="shared" si="0"/>
        <v>6'b111011: begin t_symb.A = -1;  t_symb.B = -1; t_symb.C = +1; t_symb.D = +2; end</v>
      </c>
      <c r="U63" s="2" t="str">
        <f t="shared" si="1"/>
        <v>6'b111011: begin t_symb.A = -2;  t_symb.B = -2; t_symb.C = +1; t_symb.D = +2; end</v>
      </c>
      <c r="V63" s="2" t="str">
        <f t="shared" si="2"/>
        <v>6'b111011: begin t_symb.A = -1;  t_symb.B = -2; t_symb.C = 0; t_symb.D = +2; end</v>
      </c>
      <c r="W63" s="2" t="str">
        <f t="shared" si="3"/>
        <v>6'b111011: begin t_symb.A = -2;  t_symb.B = -1; t_symb.C = 0; t_symb.D = +2; end</v>
      </c>
    </row>
    <row r="64" spans="1:23" x14ac:dyDescent="0.25">
      <c r="A64" s="1" t="s">
        <v>161</v>
      </c>
      <c r="B64" s="1" t="str" cm="1">
        <f t="array" ref="B64:S64">_xlfn.TEXTSPLIT(TRIM(A64), {" ",",",", "})</f>
        <v>Normal</v>
      </c>
      <c r="C64" s="1" t="str">
        <v>111100</v>
      </c>
      <c r="D64" s="1" t="str">
        <v>+1</v>
      </c>
      <c r="E64" s="1" t="str">
        <v>+1</v>
      </c>
      <c r="F64" s="1" t="str">
        <v>-1</v>
      </c>
      <c r="G64" s="1" t="str">
        <v>+2</v>
      </c>
      <c r="H64" s="1" t="str">
        <v>0</v>
      </c>
      <c r="I64" s="1" t="str">
        <v>0</v>
      </c>
      <c r="J64" s="1" t="str">
        <v>-1</v>
      </c>
      <c r="K64" s="1" t="str">
        <v>+2</v>
      </c>
      <c r="L64" s="1" t="str">
        <v>+1</v>
      </c>
      <c r="M64" s="1" t="str">
        <v>0</v>
      </c>
      <c r="N64" s="1" t="str">
        <v>-2</v>
      </c>
      <c r="O64" s="1" t="str">
        <v>+2</v>
      </c>
      <c r="P64" s="1" t="str">
        <v>0</v>
      </c>
      <c r="Q64" s="1" t="str">
        <v>+1</v>
      </c>
      <c r="R64" s="1" t="str">
        <v>-2</v>
      </c>
      <c r="S64" s="1" t="str">
        <v>+2</v>
      </c>
      <c r="T64" s="2" t="str">
        <f t="shared" si="0"/>
        <v>6'b111100: begin t_symb.A = +1;  t_symb.B = +1; t_symb.C = -1; t_symb.D = +2; end</v>
      </c>
      <c r="U64" s="2" t="str">
        <f t="shared" si="1"/>
        <v>6'b111100: begin t_symb.A = 0;  t_symb.B = 0; t_symb.C = -1; t_symb.D = +2; end</v>
      </c>
      <c r="V64" s="2" t="str">
        <f t="shared" si="2"/>
        <v>6'b111100: begin t_symb.A = +1;  t_symb.B = 0; t_symb.C = -2; t_symb.D = +2; end</v>
      </c>
      <c r="W64" s="2" t="str">
        <f t="shared" si="3"/>
        <v>6'b111100: begin t_symb.A = 0;  t_symb.B = +1; t_symb.C = -2; t_symb.D = +2; end</v>
      </c>
    </row>
    <row r="65" spans="1:23" x14ac:dyDescent="0.25">
      <c r="A65" s="1" t="s">
        <v>162</v>
      </c>
      <c r="B65" s="1" t="str" cm="1">
        <f t="array" ref="B65:S65">_xlfn.TEXTSPLIT(TRIM(A65), {" ",",",", "})</f>
        <v>Normal</v>
      </c>
      <c r="C65" s="1" t="str">
        <v>111101</v>
      </c>
      <c r="D65" s="1" t="str">
        <v>-1</v>
      </c>
      <c r="E65" s="1" t="str">
        <v>+1</v>
      </c>
      <c r="F65" s="1" t="str">
        <v>-1</v>
      </c>
      <c r="G65" s="1" t="str">
        <v>+2</v>
      </c>
      <c r="H65" s="1" t="str">
        <v>-2</v>
      </c>
      <c r="I65" s="1" t="str">
        <v>0</v>
      </c>
      <c r="J65" s="1" t="str">
        <v>-1</v>
      </c>
      <c r="K65" s="1" t="str">
        <v>+2</v>
      </c>
      <c r="L65" s="1" t="str">
        <v>-1</v>
      </c>
      <c r="M65" s="1" t="str">
        <v>0</v>
      </c>
      <c r="N65" s="1" t="str">
        <v>-2</v>
      </c>
      <c r="O65" s="1" t="str">
        <v>+2</v>
      </c>
      <c r="P65" s="1" t="str">
        <v>-2</v>
      </c>
      <c r="Q65" s="1" t="str">
        <v>+1</v>
      </c>
      <c r="R65" s="1" t="str">
        <v>-2</v>
      </c>
      <c r="S65" s="1" t="str">
        <v>+2</v>
      </c>
      <c r="T65" s="2" t="str">
        <f t="shared" si="0"/>
        <v>6'b111101: begin t_symb.A = -1;  t_symb.B = +1; t_symb.C = -1; t_symb.D = +2; end</v>
      </c>
      <c r="U65" s="2" t="str">
        <f t="shared" si="1"/>
        <v>6'b111101: begin t_symb.A = -2;  t_symb.B = 0; t_symb.C = -1; t_symb.D = +2; end</v>
      </c>
      <c r="V65" s="2" t="str">
        <f t="shared" si="2"/>
        <v>6'b111101: begin t_symb.A = -1;  t_symb.B = 0; t_symb.C = -2; t_symb.D = +2; end</v>
      </c>
      <c r="W65" s="2" t="str">
        <f t="shared" si="3"/>
        <v>6'b111101: begin t_symb.A = -2;  t_symb.B = +1; t_symb.C = -2; t_symb.D = +2; end</v>
      </c>
    </row>
    <row r="66" spans="1:23" x14ac:dyDescent="0.25">
      <c r="A66" s="1" t="s">
        <v>163</v>
      </c>
      <c r="B66" s="1" t="str" cm="1">
        <f t="array" ref="B66:S66">_xlfn.TEXTSPLIT(TRIM(A66), {" ",",",", "})</f>
        <v>Normal</v>
      </c>
      <c r="C66" s="1" t="str">
        <v>111110</v>
      </c>
      <c r="D66" s="1" t="str">
        <v>+1</v>
      </c>
      <c r="E66" s="1" t="str">
        <v>-1</v>
      </c>
      <c r="F66" s="1" t="str">
        <v>-1</v>
      </c>
      <c r="G66" s="1" t="str">
        <v>+2</v>
      </c>
      <c r="H66" s="1" t="str">
        <v>0</v>
      </c>
      <c r="I66" s="1" t="str">
        <v>-2</v>
      </c>
      <c r="J66" s="1" t="str">
        <v>-1</v>
      </c>
      <c r="K66" s="1" t="str">
        <v>+2</v>
      </c>
      <c r="L66" s="1" t="str">
        <v>+1</v>
      </c>
      <c r="M66" s="1" t="str">
        <v>-2</v>
      </c>
      <c r="N66" s="1" t="str">
        <v>-2</v>
      </c>
      <c r="O66" s="1" t="str">
        <v>+2</v>
      </c>
      <c r="P66" s="1" t="str">
        <v>0</v>
      </c>
      <c r="Q66" s="1" t="str">
        <v>-1</v>
      </c>
      <c r="R66" s="1" t="str">
        <v>-2</v>
      </c>
      <c r="S66" s="1" t="str">
        <v>+2</v>
      </c>
      <c r="T66" s="2" t="str">
        <f t="shared" si="0"/>
        <v>6'b111110: begin t_symb.A = +1;  t_symb.B = -1; t_symb.C = -1; t_symb.D = +2; end</v>
      </c>
      <c r="U66" s="2" t="str">
        <f t="shared" si="1"/>
        <v>6'b111110: begin t_symb.A = 0;  t_symb.B = -2; t_symb.C = -1; t_symb.D = +2; end</v>
      </c>
      <c r="V66" s="2" t="str">
        <f t="shared" si="2"/>
        <v>6'b111110: begin t_symb.A = +1;  t_symb.B = -2; t_symb.C = -2; t_symb.D = +2; end</v>
      </c>
      <c r="W66" s="2" t="str">
        <f t="shared" si="3"/>
        <v>6'b111110: begin t_symb.A = 0;  t_symb.B = -1; t_symb.C = -2; t_symb.D = +2; end</v>
      </c>
    </row>
    <row r="67" spans="1:23" x14ac:dyDescent="0.25">
      <c r="A67" s="1" t="s">
        <v>164</v>
      </c>
      <c r="B67" s="1" t="str" cm="1">
        <f t="array" ref="B67:S67">_xlfn.TEXTSPLIT(TRIM(A67), {" ",",",", "})</f>
        <v>Normal</v>
      </c>
      <c r="C67" s="1" t="str">
        <v>111111</v>
      </c>
      <c r="D67" s="1" t="str">
        <v>-1</v>
      </c>
      <c r="E67" s="1" t="str">
        <v>-1</v>
      </c>
      <c r="F67" s="1" t="str">
        <v>-1</v>
      </c>
      <c r="G67" s="1" t="str">
        <v>+2</v>
      </c>
      <c r="H67" s="1" t="str">
        <v>-2</v>
      </c>
      <c r="I67" s="1" t="str">
        <v>-2</v>
      </c>
      <c r="J67" s="1" t="str">
        <v>-1</v>
      </c>
      <c r="K67" s="1" t="str">
        <v>+2</v>
      </c>
      <c r="L67" s="1" t="str">
        <v>-1</v>
      </c>
      <c r="M67" s="1" t="str">
        <v>-2</v>
      </c>
      <c r="N67" s="1" t="str">
        <v>-2</v>
      </c>
      <c r="O67" s="1" t="str">
        <v>+2</v>
      </c>
      <c r="P67" s="1" t="str">
        <v>-2</v>
      </c>
      <c r="Q67" s="1" t="str">
        <v>-1</v>
      </c>
      <c r="R67" s="1" t="str">
        <v>-2</v>
      </c>
      <c r="S67" s="1" t="str">
        <v>+2</v>
      </c>
      <c r="T67" s="2" t="str">
        <f t="shared" si="0"/>
        <v>6'b111111: begin t_symb.A = -1;  t_symb.B = -1; t_symb.C = -1; t_symb.D = +2; end</v>
      </c>
      <c r="U67" s="2" t="str">
        <f t="shared" si="1"/>
        <v>6'b111111: begin t_symb.A = -2;  t_symb.B = -2; t_symb.C = -1; t_symb.D = +2; end</v>
      </c>
      <c r="V67" s="2" t="str">
        <f t="shared" si="2"/>
        <v>6'b111111: begin t_symb.A = -1;  t_symb.B = -2; t_symb.C = -2; t_symb.D = +2; end</v>
      </c>
      <c r="W67" s="2" t="str">
        <f t="shared" si="3"/>
        <v>6'b111111: begin t_symb.A = -2;  t_symb.B = -1; t_symb.C = -2; t_symb.D = +2; end</v>
      </c>
    </row>
    <row r="68" spans="1:23" x14ac:dyDescent="0.25">
      <c r="A68" s="1" t="s">
        <v>165</v>
      </c>
      <c r="B68" s="1" t="str" cm="1">
        <f t="array" ref="B68:S68">_xlfn.TEXTSPLIT(TRIM(A68), {" ",",",", "})</f>
        <v>xmt_err</v>
      </c>
      <c r="C68" s="1" t="str">
        <v>XXXXXX</v>
      </c>
      <c r="D68" s="1" t="str">
        <v>+2</v>
      </c>
      <c r="E68" s="1" t="str">
        <v>+2</v>
      </c>
      <c r="F68" s="1" t="str">
        <v>0</v>
      </c>
      <c r="G68" s="1" t="str">
        <v>+1</v>
      </c>
      <c r="H68" s="1" t="str">
        <v>0</v>
      </c>
      <c r="I68" s="1" t="str">
        <v>+2</v>
      </c>
      <c r="J68" s="1" t="str">
        <v>+1</v>
      </c>
      <c r="K68" s="1" t="str">
        <v>+2</v>
      </c>
      <c r="L68" s="1" t="str">
        <v>+1</v>
      </c>
      <c r="M68" s="1" t="str">
        <v>+2</v>
      </c>
      <c r="N68" s="1" t="str">
        <v>+2</v>
      </c>
      <c r="O68" s="1" t="str">
        <v>0</v>
      </c>
      <c r="P68" s="1" t="str">
        <v>+2</v>
      </c>
      <c r="Q68" s="1" t="str">
        <v>+1</v>
      </c>
      <c r="R68" s="1" t="str">
        <v>+2</v>
      </c>
      <c r="S68" s="1" t="str">
        <v>0</v>
      </c>
      <c r="T68" s="1" t="str">
        <f t="shared" ref="T68:T69" si="4">"3'b" &amp; $D$3 &amp; ": begin t_symb.A = " &amp; D68 &amp;";  t_symb.B = " &amp; E68 &amp; "; t_symb.C = "&amp; F68 &amp; "; t_symb.D = " &amp; G68 &amp;"; end"</f>
        <v>3'b001: begin t_symb.A = +2;  t_symb.B = +2; t_symb.C = 0; t_symb.D = +1; end</v>
      </c>
      <c r="U68" s="1" t="str">
        <f t="shared" ref="U68:U69" si="5">"3'b" &amp; $H$3 &amp; ": begin t_symb.A = " &amp; H68 &amp;";  t_symb.B = " &amp; I68 &amp; "; t_symb.C = "&amp; J68 &amp; "; t_symb.D = " &amp; K68 &amp;"; end"</f>
        <v>3'b011: begin t_symb.A = 0;  t_symb.B = +2; t_symb.C = +1; t_symb.D = +2; end</v>
      </c>
      <c r="V68" s="1" t="str">
        <f t="shared" ref="V68:V69" si="6">"3'b" &amp; $L$3 &amp; ": begin t_symb.A = " &amp; L68 &amp;";  t_symb.B = " &amp; M68 &amp; "; t_symb.C = "&amp; N68 &amp; "; t_symb.D = " &amp; O68 &amp;"; end"</f>
        <v>3'b101: begin t_symb.A = +1;  t_symb.B = +2; t_symb.C = +2; t_symb.D = 0; end</v>
      </c>
      <c r="W68" s="1" t="str">
        <f t="shared" ref="W68:W69" si="7">"3'b" &amp; $P$3 &amp; ": begin t_symb.A = " &amp; P68 &amp;";  t_symb.B = " &amp; Q68 &amp; "; t_symb.C = "&amp; R68 &amp; "; t_symb.D = " &amp; S68 &amp;"; end"</f>
        <v>3'b111: begin t_symb.A = +2;  t_symb.B = +1; t_symb.C = +2; t_symb.D = 0; end</v>
      </c>
    </row>
    <row r="69" spans="1:23" x14ac:dyDescent="0.25">
      <c r="A69" s="1" t="s">
        <v>166</v>
      </c>
      <c r="B69" s="1" t="str" cm="1">
        <f t="array" ref="B69:S69">_xlfn.TEXTSPLIT(TRIM(A69), {" ",",",", "})</f>
        <v>CSExtend_Err</v>
      </c>
      <c r="C69" s="1" t="str">
        <v>XXXXXX</v>
      </c>
      <c r="D69" s="1" t="str">
        <v>+2</v>
      </c>
      <c r="E69" s="1" t="str">
        <v>+2</v>
      </c>
      <c r="F69" s="1" t="str">
        <v>-2</v>
      </c>
      <c r="G69" s="1" t="str">
        <v>-1</v>
      </c>
      <c r="H69" s="1" t="str">
        <v>-2</v>
      </c>
      <c r="I69" s="1" t="str">
        <v>+2</v>
      </c>
      <c r="J69" s="1" t="str">
        <v>-1</v>
      </c>
      <c r="K69" s="1" t="str">
        <v>+2</v>
      </c>
      <c r="L69" s="1" t="str">
        <v>-1</v>
      </c>
      <c r="M69" s="1" t="str">
        <v>+2</v>
      </c>
      <c r="N69" s="1" t="str">
        <v>+2</v>
      </c>
      <c r="O69" s="1" t="str">
        <v>-2</v>
      </c>
      <c r="P69" s="1" t="str">
        <v>+2</v>
      </c>
      <c r="Q69" s="1" t="str">
        <v>-1</v>
      </c>
      <c r="R69" s="1" t="str">
        <v>+2</v>
      </c>
      <c r="S69" s="1" t="str">
        <v>-2</v>
      </c>
      <c r="T69" s="1" t="str">
        <f t="shared" si="4"/>
        <v>3'b001: begin t_symb.A = +2;  t_symb.B = +2; t_symb.C = -2; t_symb.D = -1; end</v>
      </c>
      <c r="U69" s="1" t="str">
        <f t="shared" si="5"/>
        <v>3'b011: begin t_symb.A = -2;  t_symb.B = +2; t_symb.C = -1; t_symb.D = +2; end</v>
      </c>
      <c r="V69" s="1" t="str">
        <f t="shared" si="6"/>
        <v>3'b101: begin t_symb.A = -1;  t_symb.B = +2; t_symb.C = +2; t_symb.D = -2; end</v>
      </c>
      <c r="W69" s="1" t="str">
        <f t="shared" si="7"/>
        <v>3'b111: begin t_symb.A = +2;  t_symb.B = -1; t_symb.C = +2; t_symb.D = -2; end</v>
      </c>
    </row>
    <row r="70" spans="1:23" x14ac:dyDescent="0.25">
      <c r="A70" s="1" t="s">
        <v>167</v>
      </c>
      <c r="B70" s="1" t="str" cm="1">
        <f t="array" ref="B70:S70">_xlfn.TEXTSPLIT(TRIM(A70), {" ",",",", "})</f>
        <v>CSExtend</v>
      </c>
      <c r="C70" s="1" t="str">
        <v>XXXXXX</v>
      </c>
      <c r="D70" s="1" t="str">
        <v>+2</v>
      </c>
      <c r="E70" s="1" t="str">
        <v>0</v>
      </c>
      <c r="F70" s="1" t="str">
        <v>+2</v>
      </c>
      <c r="G70" s="1" t="str">
        <v>+1</v>
      </c>
      <c r="H70" s="1" t="str">
        <v>+2</v>
      </c>
      <c r="I70" s="1" t="str">
        <v>0</v>
      </c>
      <c r="J70" s="1" t="str">
        <v>+1</v>
      </c>
      <c r="K70" s="1" t="str">
        <v>+2</v>
      </c>
      <c r="L70" s="1" t="str">
        <v>+1</v>
      </c>
      <c r="M70" s="1" t="str">
        <v>0</v>
      </c>
      <c r="N70" s="1" t="str">
        <v>+2</v>
      </c>
      <c r="O70" s="1" t="str">
        <v>+2</v>
      </c>
      <c r="P70" s="1" t="str">
        <v>+2</v>
      </c>
      <c r="Q70" s="1" t="str">
        <v>+1</v>
      </c>
      <c r="R70" s="1" t="str">
        <v>0</v>
      </c>
      <c r="S70" s="1" t="str">
        <v>+2</v>
      </c>
      <c r="T70" s="1" t="str">
        <f t="shared" ref="T70:T71" si="8">"3'b" &amp; $D$3 &amp; ": begin t_symb.A = " &amp; D70 &amp;";  t_symb.B = " &amp; E70 &amp; "; t_symb.C = "&amp; F70 &amp; "; t_symb.D = " &amp; G70 &amp;"; end"</f>
        <v>3'b001: begin t_symb.A = +2;  t_symb.B = 0; t_symb.C = +2; t_symb.D = +1; end</v>
      </c>
      <c r="U70" s="1" t="str">
        <f t="shared" ref="U70:U71" si="9">"3'b" &amp; $H$3 &amp; ": begin t_symb.A = " &amp; H70 &amp;";  t_symb.B = " &amp; I70 &amp; "; t_symb.C = "&amp; J70 &amp; "; t_symb.D = " &amp; K70 &amp;"; end"</f>
        <v>3'b011: begin t_symb.A = +2;  t_symb.B = 0; t_symb.C = +1; t_symb.D = +2; end</v>
      </c>
      <c r="V70" s="1" t="str">
        <f t="shared" ref="V70:V71" si="10">"3'b" &amp; $L$3 &amp; ": begin t_symb.A = " &amp; L70 &amp;";  t_symb.B = " &amp; M70 &amp; "; t_symb.C = "&amp; N70 &amp; "; t_symb.D = " &amp; O70 &amp;"; end"</f>
        <v>3'b101: begin t_symb.A = +1;  t_symb.B = 0; t_symb.C = +2; t_symb.D = +2; end</v>
      </c>
      <c r="W70" s="1" t="str">
        <f t="shared" ref="W70" si="11">"3'b" &amp; $P$3 &amp; ": begin t_symb.A = " &amp; P70 &amp;";  t_symb.B = " &amp; Q70 &amp; "; t_symb.C = "&amp; R70 &amp; "; t_symb.D = " &amp; S70 &amp;"; end"</f>
        <v>3'b111: begin t_symb.A = +2;  t_symb.B = +1; t_symb.C = 0; t_symb.D = +2; end</v>
      </c>
    </row>
    <row r="71" spans="1:23" x14ac:dyDescent="0.25">
      <c r="A71" s="1" t="s">
        <v>168</v>
      </c>
      <c r="B71" s="1" t="str" cm="1">
        <f t="array" ref="B71:S71">_xlfn.TEXTSPLIT(TRIM(A71), {" ",",",", "})</f>
        <v>CSReset</v>
      </c>
      <c r="C71" s="1" t="str">
        <v>XXXXXX</v>
      </c>
      <c r="D71" s="1" t="str">
        <v>+2</v>
      </c>
      <c r="E71" s="1" t="str">
        <v>-2</v>
      </c>
      <c r="F71" s="1" t="str">
        <v>+2</v>
      </c>
      <c r="G71" s="1" t="str">
        <v>-1</v>
      </c>
      <c r="H71" s="1" t="str">
        <v>+2</v>
      </c>
      <c r="I71" s="1" t="str">
        <v>-2</v>
      </c>
      <c r="J71" s="1" t="str">
        <v>-1</v>
      </c>
      <c r="K71" s="1" t="str">
        <v>+2</v>
      </c>
      <c r="L71" s="1" t="str">
        <v>-1</v>
      </c>
      <c r="M71" s="1" t="str">
        <v>-2</v>
      </c>
      <c r="N71" s="1" t="str">
        <v>+2</v>
      </c>
      <c r="O71" s="1" t="str">
        <v>+2</v>
      </c>
      <c r="P71" s="1" t="str">
        <v>+2</v>
      </c>
      <c r="Q71" s="1" t="str">
        <v>-1</v>
      </c>
      <c r="R71" s="1" t="str">
        <v>-2</v>
      </c>
      <c r="S71" s="1" t="str">
        <v>+2</v>
      </c>
      <c r="T71" s="1" t="str">
        <f t="shared" si="8"/>
        <v>3'b001: begin t_symb.A = +2;  t_symb.B = -2; t_symb.C = +2; t_symb.D = -1; end</v>
      </c>
      <c r="U71" s="1" t="str">
        <f t="shared" si="9"/>
        <v>3'b011: begin t_symb.A = +2;  t_symb.B = -2; t_symb.C = -1; t_symb.D = +2; end</v>
      </c>
      <c r="V71" s="1" t="str">
        <f t="shared" si="10"/>
        <v>3'b101: begin t_symb.A = -1;  t_symb.B = -2; t_symb.C = +2; t_symb.D = +2; end</v>
      </c>
      <c r="W71" s="1" t="str">
        <f>"3'b" &amp; $P$3 &amp; ": begin t_symb.A = " &amp; P71 &amp;";  t_symb.B = " &amp; Q71 &amp; "; t_symb.C = "&amp; R71 &amp; "; t_symb.D = " &amp; S71 &amp;"; end"</f>
        <v>3'b111: begin t_symb.A = +2;  t_symb.B = -1; t_symb.C = -2; t_symb.D = +2; end</v>
      </c>
    </row>
  </sheetData>
  <autoFilter ref="A3:W71" xr:uid="{BB3F5DE5-3406-41BB-895C-E559A7E47047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</autoFilter>
  <mergeCells count="7">
    <mergeCell ref="T3:W3"/>
    <mergeCell ref="A1:W1"/>
    <mergeCell ref="D2:S2"/>
    <mergeCell ref="D3:G3"/>
    <mergeCell ref="H3:K3"/>
    <mergeCell ref="L3:O3"/>
    <mergeCell ref="P3:S3"/>
  </mergeCell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581EE-7CB9-41A1-9D04-AECF4C7C8552}">
  <dimension ref="A1:B10"/>
  <sheetViews>
    <sheetView zoomScale="220" zoomScaleNormal="220" workbookViewId="0">
      <selection activeCell="B5" sqref="B5"/>
    </sheetView>
  </sheetViews>
  <sheetFormatPr defaultRowHeight="15" x14ac:dyDescent="0.25"/>
  <sheetData>
    <row r="1" spans="1:2" x14ac:dyDescent="0.25">
      <c r="A1" t="s">
        <v>6</v>
      </c>
      <c r="B1" t="s">
        <v>173</v>
      </c>
    </row>
    <row r="2" spans="1:2" x14ac:dyDescent="0.25">
      <c r="A2" s="6" t="s">
        <v>0</v>
      </c>
      <c r="B2" s="6" t="s">
        <v>0</v>
      </c>
    </row>
    <row r="3" spans="1:2" x14ac:dyDescent="0.25">
      <c r="A3" s="6" t="s">
        <v>1</v>
      </c>
      <c r="B3" s="6" t="s">
        <v>1</v>
      </c>
    </row>
    <row r="4" spans="1:2" x14ac:dyDescent="0.25">
      <c r="A4" s="6" t="s">
        <v>3</v>
      </c>
      <c r="B4" s="6" t="s">
        <v>169</v>
      </c>
    </row>
    <row r="5" spans="1:2" x14ac:dyDescent="0.25">
      <c r="A5" s="6" t="s">
        <v>2</v>
      </c>
      <c r="B5" s="6" t="s">
        <v>170</v>
      </c>
    </row>
    <row r="6" spans="1:2" x14ac:dyDescent="0.25">
      <c r="A6" s="6"/>
      <c r="B6" s="6"/>
    </row>
    <row r="7" spans="1:2" x14ac:dyDescent="0.25">
      <c r="A7" s="6" t="s">
        <v>169</v>
      </c>
      <c r="B7" s="6" t="s">
        <v>3</v>
      </c>
    </row>
    <row r="8" spans="1:2" x14ac:dyDescent="0.25">
      <c r="A8" s="6" t="s">
        <v>170</v>
      </c>
      <c r="B8" s="6" t="s">
        <v>2</v>
      </c>
    </row>
    <row r="9" spans="1:2" x14ac:dyDescent="0.25">
      <c r="A9" s="6" t="s">
        <v>171</v>
      </c>
      <c r="B9" s="6" t="s">
        <v>171</v>
      </c>
    </row>
    <row r="10" spans="1:2" x14ac:dyDescent="0.25">
      <c r="A10" s="6" t="s">
        <v>172</v>
      </c>
      <c r="B10" s="6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E0839-6991-4E30-B9B9-9975871DB024}">
  <dimension ref="A1:W93"/>
  <sheetViews>
    <sheetView topLeftCell="U1" zoomScale="70" zoomScaleNormal="70" workbookViewId="0">
      <selection activeCell="Y8" sqref="Y8"/>
    </sheetView>
  </sheetViews>
  <sheetFormatPr defaultRowHeight="15" x14ac:dyDescent="0.25"/>
  <cols>
    <col min="1" max="1" width="73.140625" bestFit="1" customWidth="1"/>
    <col min="2" max="2" width="14.42578125" bestFit="1" customWidth="1"/>
    <col min="3" max="3" width="11.5703125" bestFit="1" customWidth="1"/>
    <col min="4" max="19" width="3.85546875" bestFit="1" customWidth="1"/>
    <col min="20" max="20" width="101.7109375" bestFit="1" customWidth="1"/>
    <col min="21" max="22" width="82.140625" bestFit="1" customWidth="1"/>
    <col min="23" max="23" width="81.42578125" bestFit="1" customWidth="1"/>
  </cols>
  <sheetData>
    <row r="1" spans="1:23" ht="15.75" thickBot="1" x14ac:dyDescent="0.3">
      <c r="A1" s="4"/>
      <c r="B1" s="4"/>
      <c r="C1" s="4"/>
      <c r="D1" s="18" t="s">
        <v>6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3" x14ac:dyDescent="0.25">
      <c r="A2" s="3" t="s">
        <v>100</v>
      </c>
      <c r="B2" s="3" t="s">
        <v>97</v>
      </c>
      <c r="C2" s="17" t="s">
        <v>98</v>
      </c>
      <c r="D2" s="19" t="s">
        <v>0</v>
      </c>
      <c r="E2" s="20"/>
      <c r="F2" s="20"/>
      <c r="G2" s="21"/>
      <c r="H2" s="19" t="s">
        <v>1</v>
      </c>
      <c r="I2" s="20"/>
      <c r="J2" s="20"/>
      <c r="K2" s="21"/>
      <c r="L2" s="19" t="s">
        <v>3</v>
      </c>
      <c r="M2" s="20"/>
      <c r="N2" s="20"/>
      <c r="O2" s="21"/>
      <c r="P2" s="19" t="s">
        <v>2</v>
      </c>
      <c r="Q2" s="20"/>
      <c r="R2" s="20"/>
      <c r="S2" s="21"/>
    </row>
    <row r="3" spans="1:23" x14ac:dyDescent="0.25">
      <c r="A3" s="2" t="s">
        <v>7</v>
      </c>
      <c r="B3" s="2" t="str" cm="1">
        <f t="array" ref="B3:S3">_xlfn.TEXTSPLIT(TRIM(A3), {" ",",",", "})</f>
        <v>Normal</v>
      </c>
      <c r="C3" s="9" t="str">
        <v>000000</v>
      </c>
      <c r="D3" s="22" t="str">
        <v>0</v>
      </c>
      <c r="E3" s="2" t="str">
        <v>0</v>
      </c>
      <c r="F3" s="2" t="str">
        <v>0</v>
      </c>
      <c r="G3" s="23" t="str">
        <v>0</v>
      </c>
      <c r="H3" s="22" t="str">
        <v>0</v>
      </c>
      <c r="I3" s="2" t="str">
        <v>0</v>
      </c>
      <c r="J3" s="2" t="str">
        <v>+1</v>
      </c>
      <c r="K3" s="23" t="str">
        <v>+1</v>
      </c>
      <c r="L3" s="22" t="str">
        <v>0</v>
      </c>
      <c r="M3" s="2" t="str">
        <v>+1</v>
      </c>
      <c r="N3" s="2" t="str">
        <v>+1</v>
      </c>
      <c r="O3" s="23" t="str">
        <v>0</v>
      </c>
      <c r="P3" s="22" t="str">
        <v>0</v>
      </c>
      <c r="Q3" s="2" t="str">
        <v>+1</v>
      </c>
      <c r="R3" s="2" t="str">
        <v>0</v>
      </c>
      <c r="S3" s="23" t="str">
        <v>+1</v>
      </c>
      <c r="T3" t="str">
        <f t="shared" ref="T3:T67" si="0">"{3'sd" &amp; D3 &amp; ",  3'sd" &amp; E3 &amp; ",  3'sd" &amp; F3 &amp; ",  3'sd" &amp; G3 &amp;"} : sdn_recovered = {3'b" &amp; $D$2 &amp; ", 6'b" &amp; $C3 &amp; "}; // Col [" &amp; $D$2 &amp; "]"</f>
        <v>{3'sd0,  3'sd0,  3'sd0,  3'sd0} : sdn_recovered = {3'b000, 6'b000000}; // Col [000]</v>
      </c>
      <c r="U3" t="str">
        <f>"{3'sd" &amp; H3 &amp; ",  3'sd" &amp; I3 &amp; ",  3'sd" &amp; J3 &amp; ",  3'sd" &amp; K3 &amp;"} : sdn_recovered = {3'b" &amp; $H$2 &amp; ", 6'b" &amp; $C3 &amp; "}; // Col [" &amp; $H$2 &amp; "]"</f>
        <v>{3'sd0,  3'sd0,  3'sd+1,  3'sd+1} : sdn_recovered = {3'b010, 6'b000000}; // Col [010]</v>
      </c>
      <c r="V3" t="str">
        <f>"{3'sd" &amp; L3 &amp; ",  3'sd" &amp; M3 &amp; ",  3'sd" &amp; N3 &amp; ",  3'sd" &amp; O3 &amp;"} : sdn_recovered = {3'b" &amp; $L$2 &amp; ", 6'b" &amp; $C3 &amp; "}; // Col [" &amp; $L$2 &amp; "]"</f>
        <v>{3'sd0,  3'sd+1,  3'sd+1,  3'sd0} : sdn_recovered = {3'b100, 6'b000000}; // Col [100]</v>
      </c>
      <c r="W3" t="str">
        <f>"{3'sd" &amp; P3 &amp; ",  3'sd" &amp; Q3 &amp; ",  3'sd" &amp; R3 &amp; ",  3'sd" &amp; S3 &amp;"} : sdn_recovered = {3'b" &amp; $P$2 &amp; ", 6'b" &amp; $C3 &amp; "}; // Col [" &amp; $P$2 &amp; "]"</f>
        <v>{3'sd0,  3'sd+1,  3'sd0,  3'sd+1} : sdn_recovered = {3'b110, 6'b000000}; // Col [110]</v>
      </c>
    </row>
    <row r="4" spans="1:23" x14ac:dyDescent="0.25">
      <c r="A4" s="1" t="s">
        <v>8</v>
      </c>
      <c r="B4" s="1" t="str" cm="1">
        <f t="array" ref="B4:S4">_xlfn.TEXTSPLIT(TRIM(A4), {" ",",",", "})</f>
        <v>Normal</v>
      </c>
      <c r="C4" s="10" t="str">
        <v>000001</v>
      </c>
      <c r="D4" s="12" t="str">
        <v>-2</v>
      </c>
      <c r="E4" s="1" t="str">
        <v>0</v>
      </c>
      <c r="F4" s="1" t="str">
        <v>0</v>
      </c>
      <c r="G4" s="13" t="str">
        <v>0</v>
      </c>
      <c r="H4" s="12" t="str">
        <v>-2</v>
      </c>
      <c r="I4" s="1" t="str">
        <v>0</v>
      </c>
      <c r="J4" s="1" t="str">
        <v>+1</v>
      </c>
      <c r="K4" s="13" t="str">
        <v>+1</v>
      </c>
      <c r="L4" s="12" t="str">
        <v>-2</v>
      </c>
      <c r="M4" s="1" t="str">
        <v>+1</v>
      </c>
      <c r="N4" s="1" t="str">
        <v>+1</v>
      </c>
      <c r="O4" s="13" t="str">
        <v>0</v>
      </c>
      <c r="P4" s="12" t="str">
        <v>-2</v>
      </c>
      <c r="Q4" s="1" t="str">
        <v>+1</v>
      </c>
      <c r="R4" s="1" t="str">
        <v>0</v>
      </c>
      <c r="S4" s="13" t="str">
        <v>+1</v>
      </c>
      <c r="T4" t="str">
        <f t="shared" si="0"/>
        <v>{3'sd-2,  3'sd0,  3'sd0,  3'sd0} : sdn_recovered = {3'b000, 6'b000001}; // Col [000]</v>
      </c>
      <c r="U4" t="str">
        <f t="shared" ref="U4:U67" si="1">"{3'sd" &amp; H4 &amp; ",  3'sd" &amp; I4 &amp; ",  3'sd" &amp; J4 &amp; ",  3'sd" &amp; K4 &amp;"} : sdn_recovered = {3'b" &amp; $H$2 &amp; ", 6'b" &amp; $C4 &amp; "}; // Col [" &amp; $H$2 &amp; "]"</f>
        <v>{3'sd-2,  3'sd0,  3'sd+1,  3'sd+1} : sdn_recovered = {3'b010, 6'b000001}; // Col [010]</v>
      </c>
      <c r="V4" t="str">
        <f t="shared" ref="V4:V67" si="2">"{3'sd" &amp; L4 &amp; ",  3'sd" &amp; M4 &amp; ",  3'sd" &amp; N4 &amp; ",  3'sd" &amp; O4 &amp;"} : sdn_recovered = {3'b" &amp; $L$2 &amp; ", 6'b" &amp; $C4 &amp; "}; // Col [" &amp; $L$2 &amp; "]"</f>
        <v>{3'sd-2,  3'sd+1,  3'sd+1,  3'sd0} : sdn_recovered = {3'b100, 6'b000001}; // Col [100]</v>
      </c>
      <c r="W4" t="str">
        <f t="shared" ref="W4:W67" si="3">"{3'sd" &amp; P4 &amp; ",  3'sd" &amp; Q4 &amp; ",  3'sd" &amp; R4 &amp; ",  3'sd" &amp; S4 &amp;"} : sdn_recovered = {3'b" &amp; $P$2 &amp; ", 6'b" &amp; $C4 &amp; "}; // Col [" &amp; $P$2 &amp; "]"</f>
        <v>{3'sd-2,  3'sd+1,  3'sd0,  3'sd+1} : sdn_recovered = {3'b110, 6'b000001}; // Col [110]</v>
      </c>
    </row>
    <row r="5" spans="1:23" x14ac:dyDescent="0.25">
      <c r="A5" s="1" t="s">
        <v>9</v>
      </c>
      <c r="B5" s="1" t="str" cm="1">
        <f t="array" ref="B5:S5">_xlfn.TEXTSPLIT(TRIM(A5), {" ",",",", "})</f>
        <v>Normal</v>
      </c>
      <c r="C5" s="10" t="str">
        <v>000010</v>
      </c>
      <c r="D5" s="12" t="str">
        <v>0</v>
      </c>
      <c r="E5" s="1" t="str">
        <v>-2</v>
      </c>
      <c r="F5" s="1" t="str">
        <v>0</v>
      </c>
      <c r="G5" s="13" t="str">
        <v>0</v>
      </c>
      <c r="H5" s="12" t="str">
        <v>0</v>
      </c>
      <c r="I5" s="1" t="str">
        <v>-2</v>
      </c>
      <c r="J5" s="1" t="str">
        <v>+1</v>
      </c>
      <c r="K5" s="13" t="str">
        <v>+1</v>
      </c>
      <c r="L5" s="12" t="str">
        <v>0</v>
      </c>
      <c r="M5" s="1" t="str">
        <v>-1</v>
      </c>
      <c r="N5" s="1" t="str">
        <v>+1</v>
      </c>
      <c r="O5" s="13" t="str">
        <v>0</v>
      </c>
      <c r="P5" s="12" t="str">
        <v>0</v>
      </c>
      <c r="Q5" s="1" t="str">
        <v>-1</v>
      </c>
      <c r="R5" s="1" t="str">
        <v>0</v>
      </c>
      <c r="S5" s="13" t="str">
        <v>+1</v>
      </c>
      <c r="T5" t="str">
        <f t="shared" si="0"/>
        <v>{3'sd0,  3'sd-2,  3'sd0,  3'sd0} : sdn_recovered = {3'b000, 6'b000010}; // Col [000]</v>
      </c>
      <c r="U5" t="str">
        <f t="shared" si="1"/>
        <v>{3'sd0,  3'sd-2,  3'sd+1,  3'sd+1} : sdn_recovered = {3'b010, 6'b000010}; // Col [010]</v>
      </c>
      <c r="V5" t="str">
        <f t="shared" si="2"/>
        <v>{3'sd0,  3'sd-1,  3'sd+1,  3'sd0} : sdn_recovered = {3'b100, 6'b000010}; // Col [100]</v>
      </c>
      <c r="W5" t="str">
        <f t="shared" si="3"/>
        <v>{3'sd0,  3'sd-1,  3'sd0,  3'sd+1} : sdn_recovered = {3'b110, 6'b000010}; // Col [110]</v>
      </c>
    </row>
    <row r="6" spans="1:23" x14ac:dyDescent="0.25">
      <c r="A6" s="1" t="s">
        <v>10</v>
      </c>
      <c r="B6" s="1" t="str" cm="1">
        <f t="array" ref="B6:S6">_xlfn.TEXTSPLIT(TRIM(A6), {" ",",",", "})</f>
        <v>Normal</v>
      </c>
      <c r="C6" s="10" t="str">
        <v>000011</v>
      </c>
      <c r="D6" s="12" t="str">
        <v>-2</v>
      </c>
      <c r="E6" s="1" t="str">
        <v>-2</v>
      </c>
      <c r="F6" s="1" t="str">
        <v>0</v>
      </c>
      <c r="G6" s="13" t="str">
        <v>0</v>
      </c>
      <c r="H6" s="12" t="str">
        <v>-2</v>
      </c>
      <c r="I6" s="1" t="str">
        <v>-2</v>
      </c>
      <c r="J6" s="1" t="str">
        <v>+1</v>
      </c>
      <c r="K6" s="13" t="str">
        <v>+1</v>
      </c>
      <c r="L6" s="12" t="str">
        <v>-2</v>
      </c>
      <c r="M6" s="1" t="str">
        <v>-1</v>
      </c>
      <c r="N6" s="1" t="str">
        <v>+1</v>
      </c>
      <c r="O6" s="13" t="str">
        <v>0</v>
      </c>
      <c r="P6" s="12" t="str">
        <v>-2</v>
      </c>
      <c r="Q6" s="1" t="str">
        <v>-1</v>
      </c>
      <c r="R6" s="1" t="str">
        <v>0</v>
      </c>
      <c r="S6" s="13" t="str">
        <v>+1</v>
      </c>
      <c r="T6" t="str">
        <f t="shared" si="0"/>
        <v>{3'sd-2,  3'sd-2,  3'sd0,  3'sd0} : sdn_recovered = {3'b000, 6'b000011}; // Col [000]</v>
      </c>
      <c r="U6" t="str">
        <f t="shared" si="1"/>
        <v>{3'sd-2,  3'sd-2,  3'sd+1,  3'sd+1} : sdn_recovered = {3'b010, 6'b000011}; // Col [010]</v>
      </c>
      <c r="V6" t="str">
        <f t="shared" si="2"/>
        <v>{3'sd-2,  3'sd-1,  3'sd+1,  3'sd0} : sdn_recovered = {3'b100, 6'b000011}; // Col [100]</v>
      </c>
      <c r="W6" t="str">
        <f t="shared" si="3"/>
        <v>{3'sd-2,  3'sd-1,  3'sd0,  3'sd+1} : sdn_recovered = {3'b110, 6'b000011}; // Col [110]</v>
      </c>
    </row>
    <row r="7" spans="1:23" x14ac:dyDescent="0.25">
      <c r="A7" s="1" t="s">
        <v>11</v>
      </c>
      <c r="B7" s="1" t="str" cm="1">
        <f t="array" ref="B7:S7">_xlfn.TEXTSPLIT(TRIM(A7), {" ",",",", "})</f>
        <v>Normal</v>
      </c>
      <c r="C7" s="10" t="str">
        <v>000100</v>
      </c>
      <c r="D7" s="12" t="str">
        <v>0</v>
      </c>
      <c r="E7" s="1" t="str">
        <v>0</v>
      </c>
      <c r="F7" s="1" t="str">
        <v>-2</v>
      </c>
      <c r="G7" s="13" t="str">
        <v>0</v>
      </c>
      <c r="H7" s="12" t="str">
        <v>0</v>
      </c>
      <c r="I7" s="1" t="str">
        <v>0</v>
      </c>
      <c r="J7" s="1" t="str">
        <v>-1</v>
      </c>
      <c r="K7" s="13" t="str">
        <v>+1</v>
      </c>
      <c r="L7" s="12" t="str">
        <v>0</v>
      </c>
      <c r="M7" s="1" t="str">
        <v>+1</v>
      </c>
      <c r="N7" s="1" t="str">
        <v>-1</v>
      </c>
      <c r="O7" s="13" t="str">
        <v>0</v>
      </c>
      <c r="P7" s="12" t="str">
        <v>0</v>
      </c>
      <c r="Q7" s="1" t="str">
        <v>+1</v>
      </c>
      <c r="R7" s="1" t="str">
        <v>-2</v>
      </c>
      <c r="S7" s="13" t="str">
        <v>+1</v>
      </c>
      <c r="T7" t="str">
        <f t="shared" si="0"/>
        <v>{3'sd0,  3'sd0,  3'sd-2,  3'sd0} : sdn_recovered = {3'b000, 6'b000100}; // Col [000]</v>
      </c>
      <c r="U7" t="str">
        <f t="shared" si="1"/>
        <v>{3'sd0,  3'sd0,  3'sd-1,  3'sd+1} : sdn_recovered = {3'b010, 6'b000100}; // Col [010]</v>
      </c>
      <c r="V7" t="str">
        <f t="shared" si="2"/>
        <v>{3'sd0,  3'sd+1,  3'sd-1,  3'sd0} : sdn_recovered = {3'b100, 6'b000100}; // Col [100]</v>
      </c>
      <c r="W7" t="str">
        <f t="shared" si="3"/>
        <v>{3'sd0,  3'sd+1,  3'sd-2,  3'sd+1} : sdn_recovered = {3'b110, 6'b000100}; // Col [110]</v>
      </c>
    </row>
    <row r="8" spans="1:23" x14ac:dyDescent="0.25">
      <c r="A8" s="1" t="s">
        <v>12</v>
      </c>
      <c r="B8" s="1" t="str" cm="1">
        <f t="array" ref="B8:S8">_xlfn.TEXTSPLIT(TRIM(A8), {" ",",",", "})</f>
        <v>Normal</v>
      </c>
      <c r="C8" s="10" t="str">
        <v>000101</v>
      </c>
      <c r="D8" s="12" t="str">
        <v>-2</v>
      </c>
      <c r="E8" s="1" t="str">
        <v>0</v>
      </c>
      <c r="F8" s="1" t="str">
        <v>-2</v>
      </c>
      <c r="G8" s="13" t="str">
        <v>0</v>
      </c>
      <c r="H8" s="12" t="str">
        <v>-2</v>
      </c>
      <c r="I8" s="1" t="str">
        <v>0</v>
      </c>
      <c r="J8" s="1" t="str">
        <v>-1</v>
      </c>
      <c r="K8" s="13" t="str">
        <v>+1</v>
      </c>
      <c r="L8" s="12" t="str">
        <v>-2</v>
      </c>
      <c r="M8" s="1" t="str">
        <v>+1</v>
      </c>
      <c r="N8" s="1" t="str">
        <v>-1</v>
      </c>
      <c r="O8" s="13" t="str">
        <v>0</v>
      </c>
      <c r="P8" s="12" t="str">
        <v>-2</v>
      </c>
      <c r="Q8" s="1" t="str">
        <v>+1</v>
      </c>
      <c r="R8" s="1" t="str">
        <v>-2</v>
      </c>
      <c r="S8" s="13" t="str">
        <v>+1</v>
      </c>
      <c r="T8" t="str">
        <f t="shared" si="0"/>
        <v>{3'sd-2,  3'sd0,  3'sd-2,  3'sd0} : sdn_recovered = {3'b000, 6'b000101}; // Col [000]</v>
      </c>
      <c r="U8" t="str">
        <f t="shared" si="1"/>
        <v>{3'sd-2,  3'sd0,  3'sd-1,  3'sd+1} : sdn_recovered = {3'b010, 6'b000101}; // Col [010]</v>
      </c>
      <c r="V8" t="str">
        <f t="shared" si="2"/>
        <v>{3'sd-2,  3'sd+1,  3'sd-1,  3'sd0} : sdn_recovered = {3'b100, 6'b000101}; // Col [100]</v>
      </c>
      <c r="W8" t="str">
        <f t="shared" si="3"/>
        <v>{3'sd-2,  3'sd+1,  3'sd-2,  3'sd+1} : sdn_recovered = {3'b110, 6'b000101}; // Col [110]</v>
      </c>
    </row>
    <row r="9" spans="1:23" x14ac:dyDescent="0.25">
      <c r="A9" s="1" t="s">
        <v>13</v>
      </c>
      <c r="B9" s="1" t="str" cm="1">
        <f t="array" ref="B9:S9">_xlfn.TEXTSPLIT(TRIM(A9), {" ",",",", "})</f>
        <v>Normal</v>
      </c>
      <c r="C9" s="10" t="str">
        <v>000110</v>
      </c>
      <c r="D9" s="12" t="str">
        <v>0</v>
      </c>
      <c r="E9" s="1" t="str">
        <v>-2</v>
      </c>
      <c r="F9" s="1" t="str">
        <v>-2</v>
      </c>
      <c r="G9" s="13" t="str">
        <v>0</v>
      </c>
      <c r="H9" s="12" t="str">
        <v>0</v>
      </c>
      <c r="I9" s="1" t="str">
        <v>-2</v>
      </c>
      <c r="J9" s="1" t="str">
        <v>-1</v>
      </c>
      <c r="K9" s="13" t="str">
        <v>+1</v>
      </c>
      <c r="L9" s="12" t="str">
        <v>0</v>
      </c>
      <c r="M9" s="1" t="str">
        <v>-1</v>
      </c>
      <c r="N9" s="1" t="str">
        <v>-1</v>
      </c>
      <c r="O9" s="13" t="str">
        <v>0</v>
      </c>
      <c r="P9" s="12" t="str">
        <v>0</v>
      </c>
      <c r="Q9" s="1" t="str">
        <v>-1</v>
      </c>
      <c r="R9" s="1" t="str">
        <v>-2</v>
      </c>
      <c r="S9" s="13" t="str">
        <v>+1</v>
      </c>
      <c r="T9" t="str">
        <f t="shared" si="0"/>
        <v>{3'sd0,  3'sd-2,  3'sd-2,  3'sd0} : sdn_recovered = {3'b000, 6'b000110}; // Col [000]</v>
      </c>
      <c r="U9" t="str">
        <f t="shared" si="1"/>
        <v>{3'sd0,  3'sd-2,  3'sd-1,  3'sd+1} : sdn_recovered = {3'b010, 6'b000110}; // Col [010]</v>
      </c>
      <c r="V9" t="str">
        <f t="shared" si="2"/>
        <v>{3'sd0,  3'sd-1,  3'sd-1,  3'sd0} : sdn_recovered = {3'b100, 6'b000110}; // Col [100]</v>
      </c>
      <c r="W9" t="str">
        <f t="shared" si="3"/>
        <v>{3'sd0,  3'sd-1,  3'sd-2,  3'sd+1} : sdn_recovered = {3'b110, 6'b000110}; // Col [110]</v>
      </c>
    </row>
    <row r="10" spans="1:23" x14ac:dyDescent="0.25">
      <c r="A10" s="1" t="s">
        <v>14</v>
      </c>
      <c r="B10" s="1" t="str" cm="1">
        <f t="array" ref="B10:S10">_xlfn.TEXTSPLIT(TRIM(A10), {" ",",",", "})</f>
        <v>Normal</v>
      </c>
      <c r="C10" s="10" t="str">
        <v>000111</v>
      </c>
      <c r="D10" s="12" t="str">
        <v>-2</v>
      </c>
      <c r="E10" s="1" t="str">
        <v>-2</v>
      </c>
      <c r="F10" s="1" t="str">
        <v>-2</v>
      </c>
      <c r="G10" s="13" t="str">
        <v>0</v>
      </c>
      <c r="H10" s="12" t="str">
        <v>-2</v>
      </c>
      <c r="I10" s="1" t="str">
        <v>-2</v>
      </c>
      <c r="J10" s="1" t="str">
        <v>-1</v>
      </c>
      <c r="K10" s="13" t="str">
        <v>+1</v>
      </c>
      <c r="L10" s="12" t="str">
        <v>-2</v>
      </c>
      <c r="M10" s="1" t="str">
        <v>-1</v>
      </c>
      <c r="N10" s="1" t="str">
        <v>-1</v>
      </c>
      <c r="O10" s="13" t="str">
        <v>0</v>
      </c>
      <c r="P10" s="12" t="str">
        <v>-2</v>
      </c>
      <c r="Q10" s="1" t="str">
        <v>-1</v>
      </c>
      <c r="R10" s="1" t="str">
        <v>-2</v>
      </c>
      <c r="S10" s="13" t="str">
        <v>+1</v>
      </c>
      <c r="T10" t="str">
        <f t="shared" si="0"/>
        <v>{3'sd-2,  3'sd-2,  3'sd-2,  3'sd0} : sdn_recovered = {3'b000, 6'b000111}; // Col [000]</v>
      </c>
      <c r="U10" t="str">
        <f t="shared" si="1"/>
        <v>{3'sd-2,  3'sd-2,  3'sd-1,  3'sd+1} : sdn_recovered = {3'b010, 6'b000111}; // Col [010]</v>
      </c>
      <c r="V10" t="str">
        <f t="shared" si="2"/>
        <v>{3'sd-2,  3'sd-1,  3'sd-1,  3'sd0} : sdn_recovered = {3'b100, 6'b000111}; // Col [100]</v>
      </c>
      <c r="W10" t="str">
        <f t="shared" si="3"/>
        <v>{3'sd-2,  3'sd-1,  3'sd-2,  3'sd+1} : sdn_recovered = {3'b110, 6'b000111}; // Col [110]</v>
      </c>
    </row>
    <row r="11" spans="1:23" x14ac:dyDescent="0.25">
      <c r="A11" s="1" t="s">
        <v>15</v>
      </c>
      <c r="B11" s="1" t="str" cm="1">
        <f t="array" ref="B11:S11">_xlfn.TEXTSPLIT(TRIM(A11), {" ",",",", "})</f>
        <v>Normal</v>
      </c>
      <c r="C11" s="10" t="str">
        <v>001000</v>
      </c>
      <c r="D11" s="12" t="str">
        <v>0</v>
      </c>
      <c r="E11" s="1" t="str">
        <v>0</v>
      </c>
      <c r="F11" s="1" t="str">
        <v>0</v>
      </c>
      <c r="G11" s="13" t="str">
        <v>-2</v>
      </c>
      <c r="H11" s="12" t="str">
        <v>0</v>
      </c>
      <c r="I11" s="1" t="str">
        <v>0</v>
      </c>
      <c r="J11" s="1" t="str">
        <v>+1</v>
      </c>
      <c r="K11" s="13" t="str">
        <v>-1</v>
      </c>
      <c r="L11" s="12" t="str">
        <v>0</v>
      </c>
      <c r="M11" s="1" t="str">
        <v>+1</v>
      </c>
      <c r="N11" s="1" t="str">
        <v>+1</v>
      </c>
      <c r="O11" s="13" t="str">
        <v>-2</v>
      </c>
      <c r="P11" s="12" t="str">
        <v>0</v>
      </c>
      <c r="Q11" s="1" t="str">
        <v>+1</v>
      </c>
      <c r="R11" s="1" t="str">
        <v>0</v>
      </c>
      <c r="S11" s="13" t="str">
        <v>-1</v>
      </c>
      <c r="T11" t="str">
        <f t="shared" si="0"/>
        <v>{3'sd0,  3'sd0,  3'sd0,  3'sd-2} : sdn_recovered = {3'b000, 6'b001000}; // Col [000]</v>
      </c>
      <c r="U11" t="str">
        <f t="shared" si="1"/>
        <v>{3'sd0,  3'sd0,  3'sd+1,  3'sd-1} : sdn_recovered = {3'b010, 6'b001000}; // Col [010]</v>
      </c>
      <c r="V11" t="str">
        <f t="shared" si="2"/>
        <v>{3'sd0,  3'sd+1,  3'sd+1,  3'sd-2} : sdn_recovered = {3'b100, 6'b001000}; // Col [100]</v>
      </c>
      <c r="W11" t="str">
        <f t="shared" si="3"/>
        <v>{3'sd0,  3'sd+1,  3'sd0,  3'sd-1} : sdn_recovered = {3'b110, 6'b001000}; // Col [110]</v>
      </c>
    </row>
    <row r="12" spans="1:23" x14ac:dyDescent="0.25">
      <c r="A12" s="1" t="s">
        <v>16</v>
      </c>
      <c r="B12" s="1" t="str" cm="1">
        <f t="array" ref="B12:S12">_xlfn.TEXTSPLIT(TRIM(A12), {" ",",",", "})</f>
        <v>Normal</v>
      </c>
      <c r="C12" s="10" t="str">
        <v>001001</v>
      </c>
      <c r="D12" s="12" t="str">
        <v>-2</v>
      </c>
      <c r="E12" s="1" t="str">
        <v>0</v>
      </c>
      <c r="F12" s="1" t="str">
        <v>0</v>
      </c>
      <c r="G12" s="13" t="str">
        <v>-2</v>
      </c>
      <c r="H12" s="12" t="str">
        <v>-2</v>
      </c>
      <c r="I12" s="1" t="str">
        <v>0</v>
      </c>
      <c r="J12" s="1" t="str">
        <v>+1</v>
      </c>
      <c r="K12" s="13" t="str">
        <v>-1</v>
      </c>
      <c r="L12" s="12" t="str">
        <v>-2</v>
      </c>
      <c r="M12" s="1" t="str">
        <v>+1</v>
      </c>
      <c r="N12" s="1" t="str">
        <v>+1</v>
      </c>
      <c r="O12" s="13" t="str">
        <v>-2</v>
      </c>
      <c r="P12" s="12" t="str">
        <v>-2</v>
      </c>
      <c r="Q12" s="1" t="str">
        <v>+1</v>
      </c>
      <c r="R12" s="1" t="str">
        <v>0</v>
      </c>
      <c r="S12" s="13" t="str">
        <v>-1</v>
      </c>
      <c r="T12" t="str">
        <f t="shared" si="0"/>
        <v>{3'sd-2,  3'sd0,  3'sd0,  3'sd-2} : sdn_recovered = {3'b000, 6'b001001}; // Col [000]</v>
      </c>
      <c r="U12" t="str">
        <f t="shared" si="1"/>
        <v>{3'sd-2,  3'sd0,  3'sd+1,  3'sd-1} : sdn_recovered = {3'b010, 6'b001001}; // Col [010]</v>
      </c>
      <c r="V12" t="str">
        <f t="shared" si="2"/>
        <v>{3'sd-2,  3'sd+1,  3'sd+1,  3'sd-2} : sdn_recovered = {3'b100, 6'b001001}; // Col [100]</v>
      </c>
      <c r="W12" t="str">
        <f t="shared" si="3"/>
        <v>{3'sd-2,  3'sd+1,  3'sd0,  3'sd-1} : sdn_recovered = {3'b110, 6'b001001}; // Col [110]</v>
      </c>
    </row>
    <row r="13" spans="1:23" x14ac:dyDescent="0.25">
      <c r="A13" s="1" t="s">
        <v>17</v>
      </c>
      <c r="B13" s="1" t="str" cm="1">
        <f t="array" ref="B13:S13">_xlfn.TEXTSPLIT(TRIM(A13), {" ",",",", "})</f>
        <v>Normal</v>
      </c>
      <c r="C13" s="10" t="str">
        <v>001010</v>
      </c>
      <c r="D13" s="12" t="str">
        <v>0</v>
      </c>
      <c r="E13" s="1" t="str">
        <v>-2</v>
      </c>
      <c r="F13" s="1" t="str">
        <v>0</v>
      </c>
      <c r="G13" s="13" t="str">
        <v>-2</v>
      </c>
      <c r="H13" s="12" t="str">
        <v>0</v>
      </c>
      <c r="I13" s="1" t="str">
        <v>-2</v>
      </c>
      <c r="J13" s="1" t="str">
        <v>+1</v>
      </c>
      <c r="K13" s="13" t="str">
        <v>-1</v>
      </c>
      <c r="L13" s="12" t="str">
        <v>0</v>
      </c>
      <c r="M13" s="1" t="str">
        <v>-1</v>
      </c>
      <c r="N13" s="1" t="str">
        <v>+1</v>
      </c>
      <c r="O13" s="13" t="str">
        <v>-2</v>
      </c>
      <c r="P13" s="12" t="str">
        <v>0</v>
      </c>
      <c r="Q13" s="1" t="str">
        <v>-1</v>
      </c>
      <c r="R13" s="1" t="str">
        <v>0</v>
      </c>
      <c r="S13" s="13" t="str">
        <v>-1</v>
      </c>
      <c r="T13" t="str">
        <f t="shared" si="0"/>
        <v>{3'sd0,  3'sd-2,  3'sd0,  3'sd-2} : sdn_recovered = {3'b000, 6'b001010}; // Col [000]</v>
      </c>
      <c r="U13" t="str">
        <f t="shared" si="1"/>
        <v>{3'sd0,  3'sd-2,  3'sd+1,  3'sd-1} : sdn_recovered = {3'b010, 6'b001010}; // Col [010]</v>
      </c>
      <c r="V13" t="str">
        <f t="shared" si="2"/>
        <v>{3'sd0,  3'sd-1,  3'sd+1,  3'sd-2} : sdn_recovered = {3'b100, 6'b001010}; // Col [100]</v>
      </c>
      <c r="W13" t="str">
        <f t="shared" si="3"/>
        <v>{3'sd0,  3'sd-1,  3'sd0,  3'sd-1} : sdn_recovered = {3'b110, 6'b001010}; // Col [110]</v>
      </c>
    </row>
    <row r="14" spans="1:23" x14ac:dyDescent="0.25">
      <c r="A14" s="1" t="s">
        <v>18</v>
      </c>
      <c r="B14" s="1" t="str" cm="1">
        <f t="array" ref="B14:S14">_xlfn.TEXTSPLIT(TRIM(A14), {" ",",",", "})</f>
        <v>Normal</v>
      </c>
      <c r="C14" s="10" t="str">
        <v>001011</v>
      </c>
      <c r="D14" s="12" t="str">
        <v>-2</v>
      </c>
      <c r="E14" s="1" t="str">
        <v>-2</v>
      </c>
      <c r="F14" s="1" t="str">
        <v>0</v>
      </c>
      <c r="G14" s="13" t="str">
        <v>-2</v>
      </c>
      <c r="H14" s="12" t="str">
        <v>-2</v>
      </c>
      <c r="I14" s="1" t="str">
        <v>-2</v>
      </c>
      <c r="J14" s="1" t="str">
        <v>+1</v>
      </c>
      <c r="K14" s="13" t="str">
        <v>-1</v>
      </c>
      <c r="L14" s="12" t="str">
        <v>-2</v>
      </c>
      <c r="M14" s="1" t="str">
        <v>-1</v>
      </c>
      <c r="N14" s="1" t="str">
        <v>+1</v>
      </c>
      <c r="O14" s="13" t="str">
        <v>-2</v>
      </c>
      <c r="P14" s="12" t="str">
        <v>-2</v>
      </c>
      <c r="Q14" s="1" t="str">
        <v>-1</v>
      </c>
      <c r="R14" s="1" t="str">
        <v>0</v>
      </c>
      <c r="S14" s="13" t="str">
        <v>-1</v>
      </c>
      <c r="T14" t="str">
        <f t="shared" si="0"/>
        <v>{3'sd-2,  3'sd-2,  3'sd0,  3'sd-2} : sdn_recovered = {3'b000, 6'b001011}; // Col [000]</v>
      </c>
      <c r="U14" t="str">
        <f t="shared" si="1"/>
        <v>{3'sd-2,  3'sd-2,  3'sd+1,  3'sd-1} : sdn_recovered = {3'b010, 6'b001011}; // Col [010]</v>
      </c>
      <c r="V14" t="str">
        <f t="shared" si="2"/>
        <v>{3'sd-2,  3'sd-1,  3'sd+1,  3'sd-2} : sdn_recovered = {3'b100, 6'b001011}; // Col [100]</v>
      </c>
      <c r="W14" t="str">
        <f t="shared" si="3"/>
        <v>{3'sd-2,  3'sd-1,  3'sd0,  3'sd-1} : sdn_recovered = {3'b110, 6'b001011}; // Col [110]</v>
      </c>
    </row>
    <row r="15" spans="1:23" x14ac:dyDescent="0.25">
      <c r="A15" s="1" t="s">
        <v>19</v>
      </c>
      <c r="B15" s="1" t="str" cm="1">
        <f t="array" ref="B15:S15">_xlfn.TEXTSPLIT(TRIM(A15), {" ",",",", "})</f>
        <v>Normal</v>
      </c>
      <c r="C15" s="10" t="str">
        <v>001100</v>
      </c>
      <c r="D15" s="12" t="str">
        <v>0</v>
      </c>
      <c r="E15" s="1" t="str">
        <v>0</v>
      </c>
      <c r="F15" s="1" t="str">
        <v>-2</v>
      </c>
      <c r="G15" s="13" t="str">
        <v>-2</v>
      </c>
      <c r="H15" s="12" t="str">
        <v>0</v>
      </c>
      <c r="I15" s="1" t="str">
        <v>0</v>
      </c>
      <c r="J15" s="1" t="str">
        <v>-1</v>
      </c>
      <c r="K15" s="13" t="str">
        <v>-1</v>
      </c>
      <c r="L15" s="12" t="str">
        <v>0</v>
      </c>
      <c r="M15" s="1" t="str">
        <v>+1</v>
      </c>
      <c r="N15" s="1" t="str">
        <v>-1</v>
      </c>
      <c r="O15" s="13" t="str">
        <v>-2</v>
      </c>
      <c r="P15" s="12" t="str">
        <v>0</v>
      </c>
      <c r="Q15" s="1" t="str">
        <v>+1</v>
      </c>
      <c r="R15" s="1" t="str">
        <v>-2</v>
      </c>
      <c r="S15" s="13" t="str">
        <v>-1</v>
      </c>
      <c r="T15" t="str">
        <f t="shared" si="0"/>
        <v>{3'sd0,  3'sd0,  3'sd-2,  3'sd-2} : sdn_recovered = {3'b000, 6'b001100}; // Col [000]</v>
      </c>
      <c r="U15" t="str">
        <f t="shared" si="1"/>
        <v>{3'sd0,  3'sd0,  3'sd-1,  3'sd-1} : sdn_recovered = {3'b010, 6'b001100}; // Col [010]</v>
      </c>
      <c r="V15" t="str">
        <f t="shared" si="2"/>
        <v>{3'sd0,  3'sd+1,  3'sd-1,  3'sd-2} : sdn_recovered = {3'b100, 6'b001100}; // Col [100]</v>
      </c>
      <c r="W15" t="str">
        <f t="shared" si="3"/>
        <v>{3'sd0,  3'sd+1,  3'sd-2,  3'sd-1} : sdn_recovered = {3'b110, 6'b001100}; // Col [110]</v>
      </c>
    </row>
    <row r="16" spans="1:23" x14ac:dyDescent="0.25">
      <c r="A16" s="1" t="s">
        <v>20</v>
      </c>
      <c r="B16" s="1" t="str" cm="1">
        <f t="array" ref="B16:S16">_xlfn.TEXTSPLIT(TRIM(A16), {" ",",",", "})</f>
        <v>Normal</v>
      </c>
      <c r="C16" s="10" t="str">
        <v>001101</v>
      </c>
      <c r="D16" s="12" t="str">
        <v>-2</v>
      </c>
      <c r="E16" s="1" t="str">
        <v>0</v>
      </c>
      <c r="F16" s="1" t="str">
        <v>-2</v>
      </c>
      <c r="G16" s="13" t="str">
        <v>-2</v>
      </c>
      <c r="H16" s="12" t="str">
        <v>-2</v>
      </c>
      <c r="I16" s="1" t="str">
        <v>0</v>
      </c>
      <c r="J16" s="1" t="str">
        <v>-1</v>
      </c>
      <c r="K16" s="13" t="str">
        <v>-1</v>
      </c>
      <c r="L16" s="12" t="str">
        <v>-2</v>
      </c>
      <c r="M16" s="1" t="str">
        <v>+1</v>
      </c>
      <c r="N16" s="1" t="str">
        <v>-1</v>
      </c>
      <c r="O16" s="13" t="str">
        <v>-2</v>
      </c>
      <c r="P16" s="12" t="str">
        <v>-2</v>
      </c>
      <c r="Q16" s="1" t="str">
        <v>+1</v>
      </c>
      <c r="R16" s="1" t="str">
        <v>-2</v>
      </c>
      <c r="S16" s="13" t="str">
        <v>-1</v>
      </c>
      <c r="T16" t="str">
        <f>"{3'sd" &amp; D3 &amp; ",'Table 40-2 RX Raw'!Q21  3'sd" &amp; E3 &amp; ",  3'sd" &amp; F3 &amp; ",  3'sd" &amp; G3 &amp;"} : sdn_recovered = {3'b" &amp; $D$2 &amp; ", 6'b" &amp; $C3 &amp; "}; // Col [" &amp; $D$2 &amp; "]"</f>
        <v>{3'sd0,'Table 40-2 RX Raw'!Q21  3'sd0,  3'sd0,  3'sd0} : sdn_recovered = {3'b000, 6'b000000}; // Col [000]</v>
      </c>
      <c r="U16" t="str">
        <f t="shared" si="1"/>
        <v>{3'sd-2,  3'sd0,  3'sd-1,  3'sd-1} : sdn_recovered = {3'b010, 6'b001101}; // Col [010]</v>
      </c>
      <c r="V16" t="str">
        <f t="shared" si="2"/>
        <v>{3'sd-2,  3'sd+1,  3'sd-1,  3'sd-2} : sdn_recovered = {3'b100, 6'b001101}; // Col [100]</v>
      </c>
      <c r="W16" t="str">
        <f t="shared" si="3"/>
        <v>{3'sd-2,  3'sd+1,  3'sd-2,  3'sd-1} : sdn_recovered = {3'b110, 6'b001101}; // Col [110]</v>
      </c>
    </row>
    <row r="17" spans="1:23" x14ac:dyDescent="0.25">
      <c r="A17" s="1" t="s">
        <v>21</v>
      </c>
      <c r="B17" s="1" t="str" cm="1">
        <f t="array" ref="B17:S17">_xlfn.TEXTSPLIT(TRIM(A17), {" ",",",", "})</f>
        <v>Normal</v>
      </c>
      <c r="C17" s="10" t="str">
        <v>001110</v>
      </c>
      <c r="D17" s="12" t="str">
        <v>0</v>
      </c>
      <c r="E17" s="1" t="str">
        <v>-2</v>
      </c>
      <c r="F17" s="1" t="str">
        <v>-2</v>
      </c>
      <c r="G17" s="13" t="str">
        <v>-2</v>
      </c>
      <c r="H17" s="12" t="str">
        <v>0</v>
      </c>
      <c r="I17" s="1" t="str">
        <v>-2</v>
      </c>
      <c r="J17" s="1" t="str">
        <v>-1</v>
      </c>
      <c r="K17" s="13" t="str">
        <v>-1</v>
      </c>
      <c r="L17" s="12" t="str">
        <v>0</v>
      </c>
      <c r="M17" s="1" t="str">
        <v>-1</v>
      </c>
      <c r="N17" s="1" t="str">
        <v>-1</v>
      </c>
      <c r="O17" s="13" t="str">
        <v>-2</v>
      </c>
      <c r="P17" s="12" t="str">
        <v>0</v>
      </c>
      <c r="Q17" s="1" t="str">
        <v>-1</v>
      </c>
      <c r="R17" s="1" t="str">
        <v>-2</v>
      </c>
      <c r="S17" s="13" t="str">
        <v>-1</v>
      </c>
      <c r="T17" t="str">
        <f t="shared" si="0"/>
        <v>{3'sd0,  3'sd-2,  3'sd-2,  3'sd-2} : sdn_recovered = {3'b000, 6'b001110}; // Col [000]</v>
      </c>
      <c r="U17" t="str">
        <f t="shared" si="1"/>
        <v>{3'sd0,  3'sd-2,  3'sd-1,  3'sd-1} : sdn_recovered = {3'b010, 6'b001110}; // Col [010]</v>
      </c>
      <c r="V17" t="str">
        <f t="shared" si="2"/>
        <v>{3'sd0,  3'sd-1,  3'sd-1,  3'sd-2} : sdn_recovered = {3'b100, 6'b001110}; // Col [100]</v>
      </c>
      <c r="W17" t="str">
        <f t="shared" si="3"/>
        <v>{3'sd0,  3'sd-1,  3'sd-2,  3'sd-1} : sdn_recovered = {3'b110, 6'b001110}; // Col [110]</v>
      </c>
    </row>
    <row r="18" spans="1:23" x14ac:dyDescent="0.25">
      <c r="A18" s="1" t="s">
        <v>22</v>
      </c>
      <c r="B18" s="1" t="str" cm="1">
        <f t="array" ref="B18:S18">_xlfn.TEXTSPLIT(TRIM(A18), {" ",",",", "})</f>
        <v>Normal</v>
      </c>
      <c r="C18" s="10" t="str">
        <v>001111</v>
      </c>
      <c r="D18" s="12" t="str">
        <v>-2</v>
      </c>
      <c r="E18" s="1" t="str">
        <v>-2</v>
      </c>
      <c r="F18" s="1" t="str">
        <v>-2</v>
      </c>
      <c r="G18" s="13" t="str">
        <v>-2</v>
      </c>
      <c r="H18" s="12" t="str">
        <v>-2</v>
      </c>
      <c r="I18" s="1" t="str">
        <v>-2</v>
      </c>
      <c r="J18" s="1" t="str">
        <v>-1</v>
      </c>
      <c r="K18" s="13" t="str">
        <v>-1</v>
      </c>
      <c r="L18" s="12" t="str">
        <v>-2</v>
      </c>
      <c r="M18" s="1" t="str">
        <v>-1</v>
      </c>
      <c r="N18" s="1" t="str">
        <v>-1</v>
      </c>
      <c r="O18" s="13" t="str">
        <v>-2</v>
      </c>
      <c r="P18" s="12" t="str">
        <v>-2</v>
      </c>
      <c r="Q18" s="1" t="str">
        <v>-1</v>
      </c>
      <c r="R18" s="1" t="str">
        <v>-2</v>
      </c>
      <c r="S18" s="13" t="str">
        <v>-1</v>
      </c>
      <c r="T18" t="str">
        <f t="shared" si="0"/>
        <v>{3'sd-2,  3'sd-2,  3'sd-2,  3'sd-2} : sdn_recovered = {3'b000, 6'b001111}; // Col [000]</v>
      </c>
      <c r="U18" t="str">
        <f t="shared" si="1"/>
        <v>{3'sd-2,  3'sd-2,  3'sd-1,  3'sd-1} : sdn_recovered = {3'b010, 6'b001111}; // Col [010]</v>
      </c>
      <c r="V18" t="str">
        <f t="shared" si="2"/>
        <v>{3'sd-2,  3'sd-1,  3'sd-1,  3'sd-2} : sdn_recovered = {3'b100, 6'b001111}; // Col [100]</v>
      </c>
      <c r="W18" t="str">
        <f t="shared" si="3"/>
        <v>{3'sd-2,  3'sd-1,  3'sd-2,  3'sd-1} : sdn_recovered = {3'b110, 6'b001111}; // Col [110]</v>
      </c>
    </row>
    <row r="19" spans="1:23" x14ac:dyDescent="0.25">
      <c r="A19" s="1" t="s">
        <v>23</v>
      </c>
      <c r="B19" s="1" t="str" cm="1">
        <f t="array" ref="B19:S19">_xlfn.TEXTSPLIT(TRIM(A19), {" ",",",", "})</f>
        <v>Normal</v>
      </c>
      <c r="C19" s="10" t="str">
        <v>010000</v>
      </c>
      <c r="D19" s="12" t="str">
        <v>+1</v>
      </c>
      <c r="E19" s="1" t="str">
        <v>+1</v>
      </c>
      <c r="F19" s="1" t="str">
        <v>+1</v>
      </c>
      <c r="G19" s="13" t="str">
        <v>+1</v>
      </c>
      <c r="H19" s="12" t="str">
        <v>+1</v>
      </c>
      <c r="I19" s="1" t="str">
        <v>+1</v>
      </c>
      <c r="J19" s="1" t="str">
        <v>0</v>
      </c>
      <c r="K19" s="13" t="str">
        <v>0</v>
      </c>
      <c r="L19" s="12" t="str">
        <v>+1</v>
      </c>
      <c r="M19" s="1" t="str">
        <v>0</v>
      </c>
      <c r="N19" s="1" t="str">
        <v>0</v>
      </c>
      <c r="O19" s="13" t="str">
        <v>+1</v>
      </c>
      <c r="P19" s="12" t="str">
        <v>+1</v>
      </c>
      <c r="Q19" s="1" t="str">
        <v>0</v>
      </c>
      <c r="R19" s="1" t="str">
        <v>+1</v>
      </c>
      <c r="S19" s="13" t="str">
        <v>0</v>
      </c>
      <c r="T19" t="str">
        <f t="shared" si="0"/>
        <v>{3'sd+1,  3'sd+1,  3'sd+1,  3'sd+1} : sdn_recovered = {3'b000, 6'b010000}; // Col [000]</v>
      </c>
      <c r="U19" t="str">
        <f t="shared" si="1"/>
        <v>{3'sd+1,  3'sd+1,  3'sd0,  3'sd0} : sdn_recovered = {3'b010, 6'b010000}; // Col [010]</v>
      </c>
      <c r="V19" t="str">
        <f t="shared" si="2"/>
        <v>{3'sd+1,  3'sd0,  3'sd0,  3'sd+1} : sdn_recovered = {3'b100, 6'b010000}; // Col [100]</v>
      </c>
      <c r="W19" t="str">
        <f t="shared" si="3"/>
        <v>{3'sd+1,  3'sd0,  3'sd+1,  3'sd0} : sdn_recovered = {3'b110, 6'b010000}; // Col [110]</v>
      </c>
    </row>
    <row r="20" spans="1:23" x14ac:dyDescent="0.25">
      <c r="A20" s="1" t="s">
        <v>24</v>
      </c>
      <c r="B20" s="1" t="str" cm="1">
        <f t="array" ref="B20:S20">_xlfn.TEXTSPLIT(TRIM(A20), {" ",",",", "})</f>
        <v>Normal</v>
      </c>
      <c r="C20" s="10" t="str">
        <v>010001</v>
      </c>
      <c r="D20" s="12" t="str">
        <v>-1</v>
      </c>
      <c r="E20" s="1" t="str">
        <v>+1</v>
      </c>
      <c r="F20" s="1" t="str">
        <v>+1</v>
      </c>
      <c r="G20" s="13" t="str">
        <v>+1</v>
      </c>
      <c r="H20" s="12" t="str">
        <v>-1</v>
      </c>
      <c r="I20" s="1" t="str">
        <v>+1</v>
      </c>
      <c r="J20" s="1" t="str">
        <v>0</v>
      </c>
      <c r="K20" s="13" t="str">
        <v>0</v>
      </c>
      <c r="L20" s="12" t="str">
        <v>-1</v>
      </c>
      <c r="M20" s="1" t="str">
        <v>0</v>
      </c>
      <c r="N20" s="1" t="str">
        <v>0</v>
      </c>
      <c r="O20" s="13" t="str">
        <v>+1</v>
      </c>
      <c r="P20" s="12" t="str">
        <v>-1</v>
      </c>
      <c r="Q20" s="1" t="str">
        <v>0</v>
      </c>
      <c r="R20" s="1" t="str">
        <v>+1</v>
      </c>
      <c r="S20" s="13" t="str">
        <v>0</v>
      </c>
      <c r="T20" t="str">
        <f t="shared" si="0"/>
        <v>{3'sd-1,  3'sd+1,  3'sd+1,  3'sd+1} : sdn_recovered = {3'b000, 6'b010001}; // Col [000]</v>
      </c>
      <c r="U20" t="str">
        <f t="shared" si="1"/>
        <v>{3'sd-1,  3'sd+1,  3'sd0,  3'sd0} : sdn_recovered = {3'b010, 6'b010001}; // Col [010]</v>
      </c>
      <c r="V20" t="str">
        <f t="shared" si="2"/>
        <v>{3'sd-1,  3'sd0,  3'sd0,  3'sd+1} : sdn_recovered = {3'b100, 6'b010001}; // Col [100]</v>
      </c>
      <c r="W20" t="str">
        <f t="shared" si="3"/>
        <v>{3'sd-1,  3'sd0,  3'sd+1,  3'sd0} : sdn_recovered = {3'b110, 6'b010001}; // Col [110]</v>
      </c>
    </row>
    <row r="21" spans="1:23" x14ac:dyDescent="0.25">
      <c r="A21" s="1" t="s">
        <v>25</v>
      </c>
      <c r="B21" s="1" t="str" cm="1">
        <f t="array" ref="B21:S21">_xlfn.TEXTSPLIT(TRIM(A21), {" ",",",", "})</f>
        <v>Normal</v>
      </c>
      <c r="C21" s="10" t="str">
        <v>010010</v>
      </c>
      <c r="D21" s="12" t="str">
        <v>+1</v>
      </c>
      <c r="E21" s="1" t="str">
        <v>-1</v>
      </c>
      <c r="F21" s="1" t="str">
        <v>+1</v>
      </c>
      <c r="G21" s="13" t="str">
        <v>+1</v>
      </c>
      <c r="H21" s="12" t="str">
        <v>+1</v>
      </c>
      <c r="I21" s="1" t="str">
        <v>-1</v>
      </c>
      <c r="J21" s="1" t="str">
        <v>0</v>
      </c>
      <c r="K21" s="13" t="str">
        <v>0</v>
      </c>
      <c r="L21" s="12" t="str">
        <v>+1</v>
      </c>
      <c r="M21" s="1" t="str">
        <v>-2</v>
      </c>
      <c r="N21" s="1" t="str">
        <v>0</v>
      </c>
      <c r="O21" s="13" t="str">
        <v>+1</v>
      </c>
      <c r="P21" s="12" t="str">
        <v>+1</v>
      </c>
      <c r="Q21" s="1" t="str">
        <v>-2</v>
      </c>
      <c r="R21" s="1" t="str">
        <v>+1</v>
      </c>
      <c r="S21" s="13" t="str">
        <v>0</v>
      </c>
      <c r="T21" t="str">
        <f t="shared" si="0"/>
        <v>{3'sd+1,  3'sd-1,  3'sd+1,  3'sd+1} : sdn_recovered = {3'b000, 6'b010010}; // Col [000]</v>
      </c>
      <c r="U21" t="str">
        <f t="shared" si="1"/>
        <v>{3'sd+1,  3'sd-1,  3'sd0,  3'sd0} : sdn_recovered = {3'b010, 6'b010010}; // Col [010]</v>
      </c>
      <c r="V21" t="str">
        <f t="shared" si="2"/>
        <v>{3'sd+1,  3'sd-2,  3'sd0,  3'sd+1} : sdn_recovered = {3'b100, 6'b010010}; // Col [100]</v>
      </c>
      <c r="W21" t="str">
        <f t="shared" si="3"/>
        <v>{3'sd+1,  3'sd-2,  3'sd+1,  3'sd0} : sdn_recovered = {3'b110, 6'b010010}; // Col [110]</v>
      </c>
    </row>
    <row r="22" spans="1:23" x14ac:dyDescent="0.25">
      <c r="A22" s="1" t="s">
        <v>26</v>
      </c>
      <c r="B22" s="1" t="str" cm="1">
        <f t="array" ref="B22:S22">_xlfn.TEXTSPLIT(TRIM(A22), {" ",",",", "})</f>
        <v>Normal</v>
      </c>
      <c r="C22" s="10" t="str">
        <v>010011</v>
      </c>
      <c r="D22" s="12" t="str">
        <v>-1</v>
      </c>
      <c r="E22" s="1" t="str">
        <v>-1</v>
      </c>
      <c r="F22" s="1" t="str">
        <v>+1</v>
      </c>
      <c r="G22" s="13" t="str">
        <v>+1</v>
      </c>
      <c r="H22" s="12" t="str">
        <v>-1</v>
      </c>
      <c r="I22" s="1" t="str">
        <v>-1</v>
      </c>
      <c r="J22" s="1" t="str">
        <v>0</v>
      </c>
      <c r="K22" s="13" t="str">
        <v>0</v>
      </c>
      <c r="L22" s="12" t="str">
        <v>-1</v>
      </c>
      <c r="M22" s="1" t="str">
        <v>-2</v>
      </c>
      <c r="N22" s="1" t="str">
        <v>0</v>
      </c>
      <c r="O22" s="13" t="str">
        <v>+1</v>
      </c>
      <c r="P22" s="12" t="str">
        <v>-1</v>
      </c>
      <c r="Q22" s="1" t="str">
        <v>-2</v>
      </c>
      <c r="R22" s="1" t="str">
        <v>+1</v>
      </c>
      <c r="S22" s="13" t="str">
        <v>0</v>
      </c>
      <c r="T22" t="str">
        <f t="shared" si="0"/>
        <v>{3'sd-1,  3'sd-1,  3'sd+1,  3'sd+1} : sdn_recovered = {3'b000, 6'b010011}; // Col [000]</v>
      </c>
      <c r="U22" t="str">
        <f t="shared" si="1"/>
        <v>{3'sd-1,  3'sd-1,  3'sd0,  3'sd0} : sdn_recovered = {3'b010, 6'b010011}; // Col [010]</v>
      </c>
      <c r="V22" t="str">
        <f t="shared" si="2"/>
        <v>{3'sd-1,  3'sd-2,  3'sd0,  3'sd+1} : sdn_recovered = {3'b100, 6'b010011}; // Col [100]</v>
      </c>
      <c r="W22" t="str">
        <f t="shared" si="3"/>
        <v>{3'sd-1,  3'sd-2,  3'sd+1,  3'sd0} : sdn_recovered = {3'b110, 6'b010011}; // Col [110]</v>
      </c>
    </row>
    <row r="23" spans="1:23" x14ac:dyDescent="0.25">
      <c r="A23" s="1" t="s">
        <v>27</v>
      </c>
      <c r="B23" s="1" t="str" cm="1">
        <f t="array" ref="B23:S23">_xlfn.TEXTSPLIT(TRIM(A23), {" ",",",", "})</f>
        <v>Normal</v>
      </c>
      <c r="C23" s="10" t="str">
        <v>010100</v>
      </c>
      <c r="D23" s="12" t="str">
        <v>+1</v>
      </c>
      <c r="E23" s="1" t="str">
        <v>+1</v>
      </c>
      <c r="F23" s="1" t="str">
        <v>-1</v>
      </c>
      <c r="G23" s="13" t="str">
        <v>+1</v>
      </c>
      <c r="H23" s="12" t="str">
        <v>+1</v>
      </c>
      <c r="I23" s="1" t="str">
        <v>+1</v>
      </c>
      <c r="J23" s="1" t="str">
        <v>-2</v>
      </c>
      <c r="K23" s="13" t="str">
        <v>0</v>
      </c>
      <c r="L23" s="12" t="str">
        <v>+1</v>
      </c>
      <c r="M23" s="1" t="str">
        <v>0</v>
      </c>
      <c r="N23" s="1" t="str">
        <v>-2</v>
      </c>
      <c r="O23" s="13" t="str">
        <v>+1</v>
      </c>
      <c r="P23" s="12" t="str">
        <v>+1</v>
      </c>
      <c r="Q23" s="1" t="str">
        <v>0</v>
      </c>
      <c r="R23" s="1" t="str">
        <v>-1</v>
      </c>
      <c r="S23" s="13" t="str">
        <v>0</v>
      </c>
      <c r="T23" t="str">
        <f t="shared" si="0"/>
        <v>{3'sd+1,  3'sd+1,  3'sd-1,  3'sd+1} : sdn_recovered = {3'b000, 6'b010100}; // Col [000]</v>
      </c>
      <c r="U23" t="str">
        <f t="shared" si="1"/>
        <v>{3'sd+1,  3'sd+1,  3'sd-2,  3'sd0} : sdn_recovered = {3'b010, 6'b010100}; // Col [010]</v>
      </c>
      <c r="V23" t="str">
        <f t="shared" si="2"/>
        <v>{3'sd+1,  3'sd0,  3'sd-2,  3'sd+1} : sdn_recovered = {3'b100, 6'b010100}; // Col [100]</v>
      </c>
      <c r="W23" t="str">
        <f t="shared" si="3"/>
        <v>{3'sd+1,  3'sd0,  3'sd-1,  3'sd0} : sdn_recovered = {3'b110, 6'b010100}; // Col [110]</v>
      </c>
    </row>
    <row r="24" spans="1:23" x14ac:dyDescent="0.25">
      <c r="A24" s="1" t="s">
        <v>28</v>
      </c>
      <c r="B24" s="1" t="str" cm="1">
        <f t="array" ref="B24:S24">_xlfn.TEXTSPLIT(TRIM(A24), {" ",",",", "})</f>
        <v>Normal</v>
      </c>
      <c r="C24" s="10" t="str">
        <v>010101</v>
      </c>
      <c r="D24" s="12" t="str">
        <v>-1</v>
      </c>
      <c r="E24" s="1" t="str">
        <v>+1</v>
      </c>
      <c r="F24" s="1" t="str">
        <v>-1</v>
      </c>
      <c r="G24" s="13" t="str">
        <v>+1</v>
      </c>
      <c r="H24" s="12" t="str">
        <v>-1</v>
      </c>
      <c r="I24" s="1" t="str">
        <v>+1</v>
      </c>
      <c r="J24" s="1" t="str">
        <v>-2</v>
      </c>
      <c r="K24" s="13" t="str">
        <v>0</v>
      </c>
      <c r="L24" s="12" t="str">
        <v>-1</v>
      </c>
      <c r="M24" s="1" t="str">
        <v>0</v>
      </c>
      <c r="N24" s="1" t="str">
        <v>-2</v>
      </c>
      <c r="O24" s="13" t="str">
        <v>+1</v>
      </c>
      <c r="P24" s="12" t="str">
        <v>-1</v>
      </c>
      <c r="Q24" s="1" t="str">
        <v>0</v>
      </c>
      <c r="R24" s="1" t="str">
        <v>-1</v>
      </c>
      <c r="S24" s="13" t="str">
        <v>0</v>
      </c>
      <c r="T24" t="str">
        <f t="shared" si="0"/>
        <v>{3'sd-1,  3'sd+1,  3'sd-1,  3'sd+1} : sdn_recovered = {3'b000, 6'b010101}; // Col [000]</v>
      </c>
      <c r="U24" t="str">
        <f t="shared" si="1"/>
        <v>{3'sd-1,  3'sd+1,  3'sd-2,  3'sd0} : sdn_recovered = {3'b010, 6'b010101}; // Col [010]</v>
      </c>
      <c r="V24" t="str">
        <f t="shared" si="2"/>
        <v>{3'sd-1,  3'sd0,  3'sd-2,  3'sd+1} : sdn_recovered = {3'b100, 6'b010101}; // Col [100]</v>
      </c>
      <c r="W24" t="str">
        <f t="shared" si="3"/>
        <v>{3'sd-1,  3'sd0,  3'sd-1,  3'sd0} : sdn_recovered = {3'b110, 6'b010101}; // Col [110]</v>
      </c>
    </row>
    <row r="25" spans="1:23" x14ac:dyDescent="0.25">
      <c r="A25" s="1" t="s">
        <v>29</v>
      </c>
      <c r="B25" s="1" t="str" cm="1">
        <f t="array" ref="B25:S25">_xlfn.TEXTSPLIT(TRIM(A25), {" ",",",", "})</f>
        <v>Normal</v>
      </c>
      <c r="C25" s="10" t="str">
        <v>010110</v>
      </c>
      <c r="D25" s="12" t="str">
        <v>+1</v>
      </c>
      <c r="E25" s="1" t="str">
        <v>-1</v>
      </c>
      <c r="F25" s="1" t="str">
        <v>-1</v>
      </c>
      <c r="G25" s="13" t="str">
        <v>+1</v>
      </c>
      <c r="H25" s="12" t="str">
        <v>+1</v>
      </c>
      <c r="I25" s="1" t="str">
        <v>-1</v>
      </c>
      <c r="J25" s="1" t="str">
        <v>-2</v>
      </c>
      <c r="K25" s="13" t="str">
        <v>0</v>
      </c>
      <c r="L25" s="12" t="str">
        <v>+1</v>
      </c>
      <c r="M25" s="1" t="str">
        <v>-2</v>
      </c>
      <c r="N25" s="1" t="str">
        <v>-2</v>
      </c>
      <c r="O25" s="13" t="str">
        <v>+1</v>
      </c>
      <c r="P25" s="12" t="str">
        <v>+1</v>
      </c>
      <c r="Q25" s="1" t="str">
        <v>-2</v>
      </c>
      <c r="R25" s="1" t="str">
        <v>-1</v>
      </c>
      <c r="S25" s="13" t="str">
        <v>0</v>
      </c>
      <c r="T25" t="str">
        <f t="shared" si="0"/>
        <v>{3'sd+1,  3'sd-1,  3'sd-1,  3'sd+1} : sdn_recovered = {3'b000, 6'b010110}; // Col [000]</v>
      </c>
      <c r="U25" t="str">
        <f t="shared" si="1"/>
        <v>{3'sd+1,  3'sd-1,  3'sd-2,  3'sd0} : sdn_recovered = {3'b010, 6'b010110}; // Col [010]</v>
      </c>
      <c r="V25" t="str">
        <f t="shared" si="2"/>
        <v>{3'sd+1,  3'sd-2,  3'sd-2,  3'sd+1} : sdn_recovered = {3'b100, 6'b010110}; // Col [100]</v>
      </c>
      <c r="W25" t="str">
        <f t="shared" si="3"/>
        <v>{3'sd+1,  3'sd-2,  3'sd-1,  3'sd0} : sdn_recovered = {3'b110, 6'b010110}; // Col [110]</v>
      </c>
    </row>
    <row r="26" spans="1:23" x14ac:dyDescent="0.25">
      <c r="A26" s="1" t="s">
        <v>30</v>
      </c>
      <c r="B26" s="1" t="str" cm="1">
        <f t="array" ref="B26:S26">_xlfn.TEXTSPLIT(TRIM(A26), {" ",",",", "})</f>
        <v>Normal</v>
      </c>
      <c r="C26" s="10" t="str">
        <v>010111</v>
      </c>
      <c r="D26" s="12" t="str">
        <v>-1</v>
      </c>
      <c r="E26" s="1" t="str">
        <v>-1</v>
      </c>
      <c r="F26" s="1" t="str">
        <v>-1</v>
      </c>
      <c r="G26" s="13" t="str">
        <v>+1</v>
      </c>
      <c r="H26" s="12" t="str">
        <v>-1</v>
      </c>
      <c r="I26" s="1" t="str">
        <v>-1</v>
      </c>
      <c r="J26" s="1" t="str">
        <v>-2</v>
      </c>
      <c r="K26" s="13" t="str">
        <v>0</v>
      </c>
      <c r="L26" s="12" t="str">
        <v>-1</v>
      </c>
      <c r="M26" s="1" t="str">
        <v>-2</v>
      </c>
      <c r="N26" s="1" t="str">
        <v>-2</v>
      </c>
      <c r="O26" s="13" t="str">
        <v>+1</v>
      </c>
      <c r="P26" s="12" t="str">
        <v>-1</v>
      </c>
      <c r="Q26" s="1" t="str">
        <v>-2</v>
      </c>
      <c r="R26" s="1" t="str">
        <v>-1</v>
      </c>
      <c r="S26" s="13" t="str">
        <v>0</v>
      </c>
      <c r="T26" t="str">
        <f t="shared" si="0"/>
        <v>{3'sd-1,  3'sd-1,  3'sd-1,  3'sd+1} : sdn_recovered = {3'b000, 6'b010111}; // Col [000]</v>
      </c>
      <c r="U26" t="str">
        <f t="shared" si="1"/>
        <v>{3'sd-1,  3'sd-1,  3'sd-2,  3'sd0} : sdn_recovered = {3'b010, 6'b010111}; // Col [010]</v>
      </c>
      <c r="V26" t="str">
        <f t="shared" si="2"/>
        <v>{3'sd-1,  3'sd-2,  3'sd-2,  3'sd+1} : sdn_recovered = {3'b100, 6'b010111}; // Col [100]</v>
      </c>
      <c r="W26" t="str">
        <f t="shared" si="3"/>
        <v>{3'sd-1,  3'sd-2,  3'sd-1,  3'sd0} : sdn_recovered = {3'b110, 6'b010111}; // Col [110]</v>
      </c>
    </row>
    <row r="27" spans="1:23" x14ac:dyDescent="0.25">
      <c r="A27" s="1" t="s">
        <v>31</v>
      </c>
      <c r="B27" s="1" t="str" cm="1">
        <f t="array" ref="B27:S27">_xlfn.TEXTSPLIT(TRIM(A27), {" ",",",", "})</f>
        <v>Normal</v>
      </c>
      <c r="C27" s="10" t="str">
        <v>011000</v>
      </c>
      <c r="D27" s="12" t="str">
        <v>+1</v>
      </c>
      <c r="E27" s="1" t="str">
        <v>+1</v>
      </c>
      <c r="F27" s="1" t="str">
        <v>+1</v>
      </c>
      <c r="G27" s="13" t="str">
        <v>-1</v>
      </c>
      <c r="H27" s="12" t="str">
        <v>+1</v>
      </c>
      <c r="I27" s="1" t="str">
        <v>+1</v>
      </c>
      <c r="J27" s="1" t="str">
        <v>0</v>
      </c>
      <c r="K27" s="13" t="str">
        <v>-2</v>
      </c>
      <c r="L27" s="12" t="str">
        <v>+1</v>
      </c>
      <c r="M27" s="1" t="str">
        <v>0</v>
      </c>
      <c r="N27" s="1" t="str">
        <v>0</v>
      </c>
      <c r="O27" s="13" t="str">
        <v>-1</v>
      </c>
      <c r="P27" s="12" t="str">
        <v>+1</v>
      </c>
      <c r="Q27" s="1" t="str">
        <v>0</v>
      </c>
      <c r="R27" s="1" t="str">
        <v>+1</v>
      </c>
      <c r="S27" s="13" t="str">
        <v>-2</v>
      </c>
      <c r="T27" t="str">
        <f t="shared" si="0"/>
        <v>{3'sd+1,  3'sd+1,  3'sd+1,  3'sd-1} : sdn_recovered = {3'b000, 6'b011000}; // Col [000]</v>
      </c>
      <c r="U27" t="str">
        <f t="shared" si="1"/>
        <v>{3'sd+1,  3'sd+1,  3'sd0,  3'sd-2} : sdn_recovered = {3'b010, 6'b011000}; // Col [010]</v>
      </c>
      <c r="V27" t="str">
        <f t="shared" si="2"/>
        <v>{3'sd+1,  3'sd0,  3'sd0,  3'sd-1} : sdn_recovered = {3'b100, 6'b011000}; // Col [100]</v>
      </c>
      <c r="W27" t="str">
        <f t="shared" si="3"/>
        <v>{3'sd+1,  3'sd0,  3'sd+1,  3'sd-2} : sdn_recovered = {3'b110, 6'b011000}; // Col [110]</v>
      </c>
    </row>
    <row r="28" spans="1:23" x14ac:dyDescent="0.25">
      <c r="A28" s="1" t="s">
        <v>32</v>
      </c>
      <c r="B28" s="1" t="str" cm="1">
        <f t="array" ref="B28:S28">_xlfn.TEXTSPLIT(TRIM(A28), {" ",",",", "})</f>
        <v>Normal</v>
      </c>
      <c r="C28" s="10" t="str">
        <v>011001</v>
      </c>
      <c r="D28" s="12" t="str">
        <v>-1</v>
      </c>
      <c r="E28" s="1" t="str">
        <v>+1</v>
      </c>
      <c r="F28" s="1" t="str">
        <v>+1</v>
      </c>
      <c r="G28" s="13" t="str">
        <v>-1</v>
      </c>
      <c r="H28" s="12" t="str">
        <v>-1</v>
      </c>
      <c r="I28" s="1" t="str">
        <v>+1</v>
      </c>
      <c r="J28" s="1" t="str">
        <v>0</v>
      </c>
      <c r="K28" s="13" t="str">
        <v>-2</v>
      </c>
      <c r="L28" s="12" t="str">
        <v>-1</v>
      </c>
      <c r="M28" s="1" t="str">
        <v>0</v>
      </c>
      <c r="N28" s="1" t="str">
        <v>0</v>
      </c>
      <c r="O28" s="13" t="str">
        <v>-1</v>
      </c>
      <c r="P28" s="12" t="str">
        <v>-1</v>
      </c>
      <c r="Q28" s="1" t="str">
        <v>0</v>
      </c>
      <c r="R28" s="1" t="str">
        <v>+1</v>
      </c>
      <c r="S28" s="13" t="str">
        <v>-2</v>
      </c>
      <c r="T28" t="str">
        <f t="shared" si="0"/>
        <v>{3'sd-1,  3'sd+1,  3'sd+1,  3'sd-1} : sdn_recovered = {3'b000, 6'b011001}; // Col [000]</v>
      </c>
      <c r="U28" t="str">
        <f t="shared" si="1"/>
        <v>{3'sd-1,  3'sd+1,  3'sd0,  3'sd-2} : sdn_recovered = {3'b010, 6'b011001}; // Col [010]</v>
      </c>
      <c r="V28" t="str">
        <f t="shared" si="2"/>
        <v>{3'sd-1,  3'sd0,  3'sd0,  3'sd-1} : sdn_recovered = {3'b100, 6'b011001}; // Col [100]</v>
      </c>
      <c r="W28" t="str">
        <f t="shared" si="3"/>
        <v>{3'sd-1,  3'sd0,  3'sd+1,  3'sd-2} : sdn_recovered = {3'b110, 6'b011001}; // Col [110]</v>
      </c>
    </row>
    <row r="29" spans="1:23" x14ac:dyDescent="0.25">
      <c r="A29" s="1" t="s">
        <v>33</v>
      </c>
      <c r="B29" s="1" t="str" cm="1">
        <f t="array" ref="B29:S29">_xlfn.TEXTSPLIT(TRIM(A29), {" ",",",", "})</f>
        <v>Normal</v>
      </c>
      <c r="C29" s="10" t="str">
        <v>011010</v>
      </c>
      <c r="D29" s="12" t="str">
        <v>+1</v>
      </c>
      <c r="E29" s="1" t="str">
        <v>-1</v>
      </c>
      <c r="F29" s="1" t="str">
        <v>+1</v>
      </c>
      <c r="G29" s="13" t="str">
        <v>-1</v>
      </c>
      <c r="H29" s="12" t="str">
        <v>+1</v>
      </c>
      <c r="I29" s="1" t="str">
        <v>-1</v>
      </c>
      <c r="J29" s="1" t="str">
        <v>0</v>
      </c>
      <c r="K29" s="13" t="str">
        <v>-2</v>
      </c>
      <c r="L29" s="12" t="str">
        <v>+1</v>
      </c>
      <c r="M29" s="1" t="str">
        <v>-2</v>
      </c>
      <c r="N29" s="1" t="str">
        <v>0</v>
      </c>
      <c r="O29" s="13" t="str">
        <v>-1</v>
      </c>
      <c r="P29" s="12" t="str">
        <v>+1</v>
      </c>
      <c r="Q29" s="1" t="str">
        <v>-2</v>
      </c>
      <c r="R29" s="1" t="str">
        <v>+1</v>
      </c>
      <c r="S29" s="13" t="str">
        <v>-2</v>
      </c>
      <c r="T29" t="str">
        <f t="shared" si="0"/>
        <v>{3'sd+1,  3'sd-1,  3'sd+1,  3'sd-1} : sdn_recovered = {3'b000, 6'b011010}; // Col [000]</v>
      </c>
      <c r="U29" t="str">
        <f t="shared" si="1"/>
        <v>{3'sd+1,  3'sd-1,  3'sd0,  3'sd-2} : sdn_recovered = {3'b010, 6'b011010}; // Col [010]</v>
      </c>
      <c r="V29" t="str">
        <f t="shared" si="2"/>
        <v>{3'sd+1,  3'sd-2,  3'sd0,  3'sd-1} : sdn_recovered = {3'b100, 6'b011010}; // Col [100]</v>
      </c>
      <c r="W29" t="str">
        <f t="shared" si="3"/>
        <v>{3'sd+1,  3'sd-2,  3'sd+1,  3'sd-2} : sdn_recovered = {3'b110, 6'b011010}; // Col [110]</v>
      </c>
    </row>
    <row r="30" spans="1:23" x14ac:dyDescent="0.25">
      <c r="A30" s="1" t="s">
        <v>34</v>
      </c>
      <c r="B30" s="1" t="str" cm="1">
        <f t="array" ref="B30:S30">_xlfn.TEXTSPLIT(TRIM(A30), {" ",",",", "})</f>
        <v>Normal</v>
      </c>
      <c r="C30" s="10" t="str">
        <v>011011</v>
      </c>
      <c r="D30" s="12" t="str">
        <v>-1</v>
      </c>
      <c r="E30" s="1" t="str">
        <v>-1</v>
      </c>
      <c r="F30" s="1" t="str">
        <v>+1</v>
      </c>
      <c r="G30" s="13" t="str">
        <v>-1</v>
      </c>
      <c r="H30" s="12" t="str">
        <v>-1</v>
      </c>
      <c r="I30" s="1" t="str">
        <v>-1</v>
      </c>
      <c r="J30" s="1" t="str">
        <v>0</v>
      </c>
      <c r="K30" s="13" t="str">
        <v>-2</v>
      </c>
      <c r="L30" s="12" t="str">
        <v>-1</v>
      </c>
      <c r="M30" s="1" t="str">
        <v>-2</v>
      </c>
      <c r="N30" s="1" t="str">
        <v>0</v>
      </c>
      <c r="O30" s="13" t="str">
        <v>-1</v>
      </c>
      <c r="P30" s="12" t="str">
        <v>-1</v>
      </c>
      <c r="Q30" s="1" t="str">
        <v>-2</v>
      </c>
      <c r="R30" s="1" t="str">
        <v>+1</v>
      </c>
      <c r="S30" s="13" t="str">
        <v>-2</v>
      </c>
      <c r="T30" t="str">
        <f t="shared" si="0"/>
        <v>{3'sd-1,  3'sd-1,  3'sd+1,  3'sd-1} : sdn_recovered = {3'b000, 6'b011011}; // Col [000]</v>
      </c>
      <c r="U30" t="str">
        <f t="shared" si="1"/>
        <v>{3'sd-1,  3'sd-1,  3'sd0,  3'sd-2} : sdn_recovered = {3'b010, 6'b011011}; // Col [010]</v>
      </c>
      <c r="V30" t="str">
        <f t="shared" si="2"/>
        <v>{3'sd-1,  3'sd-2,  3'sd0,  3'sd-1} : sdn_recovered = {3'b100, 6'b011011}; // Col [100]</v>
      </c>
      <c r="W30" t="str">
        <f t="shared" si="3"/>
        <v>{3'sd-1,  3'sd-2,  3'sd+1,  3'sd-2} : sdn_recovered = {3'b110, 6'b011011}; // Col [110]</v>
      </c>
    </row>
    <row r="31" spans="1:23" x14ac:dyDescent="0.25">
      <c r="A31" s="1" t="s">
        <v>35</v>
      </c>
      <c r="B31" s="1" t="str" cm="1">
        <f t="array" ref="B31:S31">_xlfn.TEXTSPLIT(TRIM(A31), {" ",",",", "})</f>
        <v>Normal</v>
      </c>
      <c r="C31" s="10" t="str">
        <v>011100</v>
      </c>
      <c r="D31" s="12" t="str">
        <v>+1</v>
      </c>
      <c r="E31" s="1" t="str">
        <v>+1</v>
      </c>
      <c r="F31" s="1" t="str">
        <v>-1</v>
      </c>
      <c r="G31" s="13" t="str">
        <v>-1</v>
      </c>
      <c r="H31" s="12" t="str">
        <v>+1</v>
      </c>
      <c r="I31" s="1" t="str">
        <v>+1</v>
      </c>
      <c r="J31" s="1" t="str">
        <v>-2</v>
      </c>
      <c r="K31" s="13" t="str">
        <v>-2</v>
      </c>
      <c r="L31" s="12" t="str">
        <v>+1</v>
      </c>
      <c r="M31" s="1" t="str">
        <v>0</v>
      </c>
      <c r="N31" s="1" t="str">
        <v>-2</v>
      </c>
      <c r="O31" s="13" t="str">
        <v>-1</v>
      </c>
      <c r="P31" s="12" t="str">
        <v>+1</v>
      </c>
      <c r="Q31" s="1" t="str">
        <v>0</v>
      </c>
      <c r="R31" s="1" t="str">
        <v>-1</v>
      </c>
      <c r="S31" s="13" t="str">
        <v>-2</v>
      </c>
      <c r="T31" t="str">
        <f t="shared" si="0"/>
        <v>{3'sd+1,  3'sd+1,  3'sd-1,  3'sd-1} : sdn_recovered = {3'b000, 6'b011100}; // Col [000]</v>
      </c>
      <c r="U31" t="str">
        <f t="shared" si="1"/>
        <v>{3'sd+1,  3'sd+1,  3'sd-2,  3'sd-2} : sdn_recovered = {3'b010, 6'b011100}; // Col [010]</v>
      </c>
      <c r="V31" t="str">
        <f t="shared" si="2"/>
        <v>{3'sd+1,  3'sd0,  3'sd-2,  3'sd-1} : sdn_recovered = {3'b100, 6'b011100}; // Col [100]</v>
      </c>
      <c r="W31" t="str">
        <f t="shared" si="3"/>
        <v>{3'sd+1,  3'sd0,  3'sd-1,  3'sd-2} : sdn_recovered = {3'b110, 6'b011100}; // Col [110]</v>
      </c>
    </row>
    <row r="32" spans="1:23" x14ac:dyDescent="0.25">
      <c r="A32" s="1" t="s">
        <v>36</v>
      </c>
      <c r="B32" s="1" t="str" cm="1">
        <f t="array" ref="B32:S32">_xlfn.TEXTSPLIT(TRIM(A32), {" ",",",", "})</f>
        <v>Normal</v>
      </c>
      <c r="C32" s="10" t="str">
        <v>011101</v>
      </c>
      <c r="D32" s="12" t="str">
        <v>-1</v>
      </c>
      <c r="E32" s="1" t="str">
        <v>+1</v>
      </c>
      <c r="F32" s="1" t="str">
        <v>-1</v>
      </c>
      <c r="G32" s="13" t="str">
        <v>-1</v>
      </c>
      <c r="H32" s="12" t="str">
        <v>-1</v>
      </c>
      <c r="I32" s="1" t="str">
        <v>+1</v>
      </c>
      <c r="J32" s="1" t="str">
        <v>-2</v>
      </c>
      <c r="K32" s="13" t="str">
        <v>-2</v>
      </c>
      <c r="L32" s="12" t="str">
        <v>-1</v>
      </c>
      <c r="M32" s="1" t="str">
        <v>0</v>
      </c>
      <c r="N32" s="1" t="str">
        <v>-2</v>
      </c>
      <c r="O32" s="13" t="str">
        <v>-1</v>
      </c>
      <c r="P32" s="12" t="str">
        <v>-1</v>
      </c>
      <c r="Q32" s="1" t="str">
        <v>0</v>
      </c>
      <c r="R32" s="1" t="str">
        <v>-1</v>
      </c>
      <c r="S32" s="13" t="str">
        <v>-2</v>
      </c>
      <c r="T32" t="str">
        <f t="shared" si="0"/>
        <v>{3'sd-1,  3'sd+1,  3'sd-1,  3'sd-1} : sdn_recovered = {3'b000, 6'b011101}; // Col [000]</v>
      </c>
      <c r="U32" t="str">
        <f t="shared" si="1"/>
        <v>{3'sd-1,  3'sd+1,  3'sd-2,  3'sd-2} : sdn_recovered = {3'b010, 6'b011101}; // Col [010]</v>
      </c>
      <c r="V32" t="str">
        <f t="shared" si="2"/>
        <v>{3'sd-1,  3'sd0,  3'sd-2,  3'sd-1} : sdn_recovered = {3'b100, 6'b011101}; // Col [100]</v>
      </c>
      <c r="W32" t="str">
        <f t="shared" si="3"/>
        <v>{3'sd-1,  3'sd0,  3'sd-1,  3'sd-2} : sdn_recovered = {3'b110, 6'b011101}; // Col [110]</v>
      </c>
    </row>
    <row r="33" spans="1:23" x14ac:dyDescent="0.25">
      <c r="A33" s="1" t="s">
        <v>37</v>
      </c>
      <c r="B33" s="1" t="str" cm="1">
        <f t="array" ref="B33:S33">_xlfn.TEXTSPLIT(TRIM(A33), {" ",",",", "})</f>
        <v>Normal</v>
      </c>
      <c r="C33" s="10" t="str">
        <v>011110</v>
      </c>
      <c r="D33" s="12" t="str">
        <v>+1</v>
      </c>
      <c r="E33" s="1" t="str">
        <v>-1</v>
      </c>
      <c r="F33" s="1" t="str">
        <v>-1</v>
      </c>
      <c r="G33" s="13" t="str">
        <v>-1</v>
      </c>
      <c r="H33" s="12" t="str">
        <v>+1</v>
      </c>
      <c r="I33" s="1" t="str">
        <v>-1</v>
      </c>
      <c r="J33" s="1" t="str">
        <v>-2</v>
      </c>
      <c r="K33" s="13" t="str">
        <v>-2</v>
      </c>
      <c r="L33" s="12" t="str">
        <v>+1</v>
      </c>
      <c r="M33" s="1" t="str">
        <v>-2</v>
      </c>
      <c r="N33" s="1" t="str">
        <v>-2</v>
      </c>
      <c r="O33" s="13" t="str">
        <v>-1</v>
      </c>
      <c r="P33" s="12" t="str">
        <v>+1</v>
      </c>
      <c r="Q33" s="1" t="str">
        <v>-2</v>
      </c>
      <c r="R33" s="1" t="str">
        <v>-1</v>
      </c>
      <c r="S33" s="13" t="str">
        <v>-2</v>
      </c>
      <c r="T33" t="str">
        <f t="shared" si="0"/>
        <v>{3'sd+1,  3'sd-1,  3'sd-1,  3'sd-1} : sdn_recovered = {3'b000, 6'b011110}; // Col [000]</v>
      </c>
      <c r="U33" t="str">
        <f t="shared" si="1"/>
        <v>{3'sd+1,  3'sd-1,  3'sd-2,  3'sd-2} : sdn_recovered = {3'b010, 6'b011110}; // Col [010]</v>
      </c>
      <c r="V33" t="str">
        <f t="shared" si="2"/>
        <v>{3'sd+1,  3'sd-2,  3'sd-2,  3'sd-1} : sdn_recovered = {3'b100, 6'b011110}; // Col [100]</v>
      </c>
      <c r="W33" t="str">
        <f t="shared" si="3"/>
        <v>{3'sd+1,  3'sd-2,  3'sd-1,  3'sd-2} : sdn_recovered = {3'b110, 6'b011110}; // Col [110]</v>
      </c>
    </row>
    <row r="34" spans="1:23" x14ac:dyDescent="0.25">
      <c r="A34" s="1" t="s">
        <v>38</v>
      </c>
      <c r="B34" s="1" t="str" cm="1">
        <f t="array" ref="B34:S34">_xlfn.TEXTSPLIT(TRIM(A34), {" ",",",", "})</f>
        <v>Normal</v>
      </c>
      <c r="C34" s="10" t="str">
        <v>011111</v>
      </c>
      <c r="D34" s="12" t="str">
        <v>-1</v>
      </c>
      <c r="E34" s="1" t="str">
        <v>-1</v>
      </c>
      <c r="F34" s="1" t="str">
        <v>-1</v>
      </c>
      <c r="G34" s="13" t="str">
        <v>-1</v>
      </c>
      <c r="H34" s="12" t="str">
        <v>-1</v>
      </c>
      <c r="I34" s="1" t="str">
        <v>-1</v>
      </c>
      <c r="J34" s="1" t="str">
        <v>-2</v>
      </c>
      <c r="K34" s="13" t="str">
        <v>-2</v>
      </c>
      <c r="L34" s="12" t="str">
        <v>-1</v>
      </c>
      <c r="M34" s="1" t="str">
        <v>-2</v>
      </c>
      <c r="N34" s="1" t="str">
        <v>-2</v>
      </c>
      <c r="O34" s="13" t="str">
        <v>-1</v>
      </c>
      <c r="P34" s="12" t="str">
        <v>-1</v>
      </c>
      <c r="Q34" s="1" t="str">
        <v>-2</v>
      </c>
      <c r="R34" s="1" t="str">
        <v>-1</v>
      </c>
      <c r="S34" s="13" t="str">
        <v>-2</v>
      </c>
      <c r="T34" t="str">
        <f t="shared" si="0"/>
        <v>{3'sd-1,  3'sd-1,  3'sd-1,  3'sd-1} : sdn_recovered = {3'b000, 6'b011111}; // Col [000]</v>
      </c>
      <c r="U34" t="str">
        <f t="shared" si="1"/>
        <v>{3'sd-1,  3'sd-1,  3'sd-2,  3'sd-2} : sdn_recovered = {3'b010, 6'b011111}; // Col [010]</v>
      </c>
      <c r="V34" t="str">
        <f t="shared" si="2"/>
        <v>{3'sd-1,  3'sd-2,  3'sd-2,  3'sd-1} : sdn_recovered = {3'b100, 6'b011111}; // Col [100]</v>
      </c>
      <c r="W34" t="str">
        <f t="shared" si="3"/>
        <v>{3'sd-1,  3'sd-2,  3'sd-1,  3'sd-2} : sdn_recovered = {3'b110, 6'b011111}; // Col [110]</v>
      </c>
    </row>
    <row r="35" spans="1:23" x14ac:dyDescent="0.25">
      <c r="A35" s="1" t="s">
        <v>39</v>
      </c>
      <c r="B35" s="1" t="str" cm="1">
        <f t="array" ref="B35:S35">_xlfn.TEXTSPLIT(TRIM(A35), {" ",",",", "})</f>
        <v>Normal</v>
      </c>
      <c r="C35" s="10" t="str">
        <v>100000</v>
      </c>
      <c r="D35" s="12" t="str">
        <v>+2</v>
      </c>
      <c r="E35" s="1" t="str">
        <v>0</v>
      </c>
      <c r="F35" s="1" t="str">
        <v>0</v>
      </c>
      <c r="G35" s="13" t="str">
        <v>0</v>
      </c>
      <c r="H35" s="12" t="str">
        <v>+2</v>
      </c>
      <c r="I35" s="1" t="str">
        <v>0</v>
      </c>
      <c r="J35" s="1" t="str">
        <v>+1</v>
      </c>
      <c r="K35" s="13" t="str">
        <v>+1</v>
      </c>
      <c r="L35" s="12" t="str">
        <v>+2</v>
      </c>
      <c r="M35" s="1" t="str">
        <v>+1</v>
      </c>
      <c r="N35" s="1" t="str">
        <v>+1</v>
      </c>
      <c r="O35" s="13" t="str">
        <v>0</v>
      </c>
      <c r="P35" s="12" t="str">
        <v>+2</v>
      </c>
      <c r="Q35" s="1" t="str">
        <v>+1</v>
      </c>
      <c r="R35" s="1" t="str">
        <v>0</v>
      </c>
      <c r="S35" s="13" t="str">
        <v>+1</v>
      </c>
      <c r="T35" t="str">
        <f t="shared" si="0"/>
        <v>{3'sd+2,  3'sd0,  3'sd0,  3'sd0} : sdn_recovered = {3'b000, 6'b100000}; // Col [000]</v>
      </c>
      <c r="U35" t="str">
        <f t="shared" si="1"/>
        <v>{3'sd+2,  3'sd0,  3'sd+1,  3'sd+1} : sdn_recovered = {3'b010, 6'b100000}; // Col [010]</v>
      </c>
      <c r="V35" t="str">
        <f t="shared" si="2"/>
        <v>{3'sd+2,  3'sd+1,  3'sd+1,  3'sd0} : sdn_recovered = {3'b100, 6'b100000}; // Col [100]</v>
      </c>
      <c r="W35" t="str">
        <f t="shared" si="3"/>
        <v>{3'sd+2,  3'sd+1,  3'sd0,  3'sd+1} : sdn_recovered = {3'b110, 6'b100000}; // Col [110]</v>
      </c>
    </row>
    <row r="36" spans="1:23" x14ac:dyDescent="0.25">
      <c r="A36" s="1" t="s">
        <v>40</v>
      </c>
      <c r="B36" s="1" t="str" cm="1">
        <f t="array" ref="B36:S36">_xlfn.TEXTSPLIT(TRIM(A36), {" ",",",", "})</f>
        <v>Normal</v>
      </c>
      <c r="C36" s="10" t="str">
        <v>100001</v>
      </c>
      <c r="D36" s="12" t="str">
        <v>+2</v>
      </c>
      <c r="E36" s="1" t="str">
        <v>-2</v>
      </c>
      <c r="F36" s="1" t="str">
        <v>0</v>
      </c>
      <c r="G36" s="13" t="str">
        <v>0</v>
      </c>
      <c r="H36" s="12" t="str">
        <v>+2</v>
      </c>
      <c r="I36" s="1" t="str">
        <v>-2</v>
      </c>
      <c r="J36" s="1" t="str">
        <v>+1</v>
      </c>
      <c r="K36" s="13" t="str">
        <v>+1</v>
      </c>
      <c r="L36" s="12" t="str">
        <v>+2</v>
      </c>
      <c r="M36" s="1" t="str">
        <v>-1</v>
      </c>
      <c r="N36" s="1" t="str">
        <v>+1</v>
      </c>
      <c r="O36" s="13" t="str">
        <v>0</v>
      </c>
      <c r="P36" s="12" t="str">
        <v>+2</v>
      </c>
      <c r="Q36" s="1" t="str">
        <v>-1</v>
      </c>
      <c r="R36" s="1" t="str">
        <v>0</v>
      </c>
      <c r="S36" s="13" t="str">
        <v>+1</v>
      </c>
      <c r="T36" t="str">
        <f t="shared" si="0"/>
        <v>{3'sd+2,  3'sd-2,  3'sd0,  3'sd0} : sdn_recovered = {3'b000, 6'b100001}; // Col [000]</v>
      </c>
      <c r="U36" t="str">
        <f t="shared" si="1"/>
        <v>{3'sd+2,  3'sd-2,  3'sd+1,  3'sd+1} : sdn_recovered = {3'b010, 6'b100001}; // Col [010]</v>
      </c>
      <c r="V36" t="str">
        <f t="shared" si="2"/>
        <v>{3'sd+2,  3'sd-1,  3'sd+1,  3'sd0} : sdn_recovered = {3'b100, 6'b100001}; // Col [100]</v>
      </c>
      <c r="W36" t="str">
        <f t="shared" si="3"/>
        <v>{3'sd+2,  3'sd-1,  3'sd0,  3'sd+1} : sdn_recovered = {3'b110, 6'b100001}; // Col [110]</v>
      </c>
    </row>
    <row r="37" spans="1:23" x14ac:dyDescent="0.25">
      <c r="A37" s="1" t="s">
        <v>41</v>
      </c>
      <c r="B37" s="1" t="str" cm="1">
        <f t="array" ref="B37:S37">_xlfn.TEXTSPLIT(TRIM(A37), {" ",",",", "})</f>
        <v>Normal</v>
      </c>
      <c r="C37" s="10" t="str">
        <v>100010</v>
      </c>
      <c r="D37" s="12" t="str">
        <v>+2</v>
      </c>
      <c r="E37" s="1" t="str">
        <v>0</v>
      </c>
      <c r="F37" s="1" t="str">
        <v>-2</v>
      </c>
      <c r="G37" s="13" t="str">
        <v>0</v>
      </c>
      <c r="H37" s="12" t="str">
        <v>+2</v>
      </c>
      <c r="I37" s="1" t="str">
        <v>0</v>
      </c>
      <c r="J37" s="1" t="str">
        <v>-1</v>
      </c>
      <c r="K37" s="13" t="str">
        <v>+1</v>
      </c>
      <c r="L37" s="12" t="str">
        <v>+2</v>
      </c>
      <c r="M37" s="1" t="str">
        <v>+1</v>
      </c>
      <c r="N37" s="1" t="str">
        <v>-1</v>
      </c>
      <c r="O37" s="13" t="str">
        <v>0</v>
      </c>
      <c r="P37" s="12" t="str">
        <v>+2</v>
      </c>
      <c r="Q37" s="1" t="str">
        <v>+1</v>
      </c>
      <c r="R37" s="1" t="str">
        <v>-2</v>
      </c>
      <c r="S37" s="13" t="str">
        <v>+1</v>
      </c>
      <c r="T37" t="str">
        <f t="shared" si="0"/>
        <v>{3'sd+2,  3'sd0,  3'sd-2,  3'sd0} : sdn_recovered = {3'b000, 6'b100010}; // Col [000]</v>
      </c>
      <c r="U37" t="str">
        <f t="shared" si="1"/>
        <v>{3'sd+2,  3'sd0,  3'sd-1,  3'sd+1} : sdn_recovered = {3'b010, 6'b100010}; // Col [010]</v>
      </c>
      <c r="V37" t="str">
        <f t="shared" si="2"/>
        <v>{3'sd+2,  3'sd+1,  3'sd-1,  3'sd0} : sdn_recovered = {3'b100, 6'b100010}; // Col [100]</v>
      </c>
      <c r="W37" t="str">
        <f t="shared" si="3"/>
        <v>{3'sd+2,  3'sd+1,  3'sd-2,  3'sd+1} : sdn_recovered = {3'b110, 6'b100010}; // Col [110]</v>
      </c>
    </row>
    <row r="38" spans="1:23" x14ac:dyDescent="0.25">
      <c r="A38" s="1" t="s">
        <v>42</v>
      </c>
      <c r="B38" s="1" t="str" cm="1">
        <f t="array" ref="B38:S38">_xlfn.TEXTSPLIT(TRIM(A38), {" ",",",", "})</f>
        <v>Normal</v>
      </c>
      <c r="C38" s="10" t="str">
        <v>100011</v>
      </c>
      <c r="D38" s="12" t="str">
        <v>+2</v>
      </c>
      <c r="E38" s="1" t="str">
        <v>-2</v>
      </c>
      <c r="F38" s="1" t="str">
        <v>-2</v>
      </c>
      <c r="G38" s="13" t="str">
        <v>0</v>
      </c>
      <c r="H38" s="12" t="str">
        <v>+2</v>
      </c>
      <c r="I38" s="1" t="str">
        <v>-2</v>
      </c>
      <c r="J38" s="1" t="str">
        <v>-1</v>
      </c>
      <c r="K38" s="13" t="str">
        <v>+1</v>
      </c>
      <c r="L38" s="12" t="str">
        <v>+2</v>
      </c>
      <c r="M38" s="1" t="str">
        <v>-1</v>
      </c>
      <c r="N38" s="1" t="str">
        <v>-1</v>
      </c>
      <c r="O38" s="13" t="str">
        <v>0</v>
      </c>
      <c r="P38" s="12" t="str">
        <v>+2</v>
      </c>
      <c r="Q38" s="1" t="str">
        <v>-1</v>
      </c>
      <c r="R38" s="1" t="str">
        <v>-2</v>
      </c>
      <c r="S38" s="13" t="str">
        <v>+1</v>
      </c>
      <c r="T38" t="str">
        <f t="shared" si="0"/>
        <v>{3'sd+2,  3'sd-2,  3'sd-2,  3'sd0} : sdn_recovered = {3'b000, 6'b100011}; // Col [000]</v>
      </c>
      <c r="U38" t="str">
        <f t="shared" si="1"/>
        <v>{3'sd+2,  3'sd-2,  3'sd-1,  3'sd+1} : sdn_recovered = {3'b010, 6'b100011}; // Col [010]</v>
      </c>
      <c r="V38" t="str">
        <f t="shared" si="2"/>
        <v>{3'sd+2,  3'sd-1,  3'sd-1,  3'sd0} : sdn_recovered = {3'b100, 6'b100011}; // Col [100]</v>
      </c>
      <c r="W38" t="str">
        <f t="shared" si="3"/>
        <v>{3'sd+2,  3'sd-1,  3'sd-2,  3'sd+1} : sdn_recovered = {3'b110, 6'b100011}; // Col [110]</v>
      </c>
    </row>
    <row r="39" spans="1:23" x14ac:dyDescent="0.25">
      <c r="A39" s="1" t="s">
        <v>43</v>
      </c>
      <c r="B39" s="1" t="str" cm="1">
        <f t="array" ref="B39:S39">_xlfn.TEXTSPLIT(TRIM(A39), {" ",",",", "})</f>
        <v>Normal</v>
      </c>
      <c r="C39" s="10" t="str">
        <v>100100</v>
      </c>
      <c r="D39" s="12" t="str">
        <v>+2</v>
      </c>
      <c r="E39" s="1" t="str">
        <v>0</v>
      </c>
      <c r="F39" s="1" t="str">
        <v>0</v>
      </c>
      <c r="G39" s="13" t="str">
        <v>-2</v>
      </c>
      <c r="H39" s="12" t="str">
        <v>+2</v>
      </c>
      <c r="I39" s="1" t="str">
        <v>0</v>
      </c>
      <c r="J39" s="1" t="str">
        <v>+1</v>
      </c>
      <c r="K39" s="13" t="str">
        <v>-1</v>
      </c>
      <c r="L39" s="12" t="str">
        <v>+2</v>
      </c>
      <c r="M39" s="1" t="str">
        <v>+1</v>
      </c>
      <c r="N39" s="1" t="str">
        <v>+1</v>
      </c>
      <c r="O39" s="13" t="str">
        <v>-2</v>
      </c>
      <c r="P39" s="12" t="str">
        <v>+2</v>
      </c>
      <c r="Q39" s="1" t="str">
        <v>+1</v>
      </c>
      <c r="R39" s="1" t="str">
        <v>0</v>
      </c>
      <c r="S39" s="13" t="str">
        <v>-1</v>
      </c>
      <c r="T39" t="str">
        <f t="shared" si="0"/>
        <v>{3'sd+2,  3'sd0,  3'sd0,  3'sd-2} : sdn_recovered = {3'b000, 6'b100100}; // Col [000]</v>
      </c>
      <c r="U39" t="str">
        <f t="shared" si="1"/>
        <v>{3'sd+2,  3'sd0,  3'sd+1,  3'sd-1} : sdn_recovered = {3'b010, 6'b100100}; // Col [010]</v>
      </c>
      <c r="V39" t="str">
        <f t="shared" si="2"/>
        <v>{3'sd+2,  3'sd+1,  3'sd+1,  3'sd-2} : sdn_recovered = {3'b100, 6'b100100}; // Col [100]</v>
      </c>
      <c r="W39" t="str">
        <f t="shared" si="3"/>
        <v>{3'sd+2,  3'sd+1,  3'sd0,  3'sd-1} : sdn_recovered = {3'b110, 6'b100100}; // Col [110]</v>
      </c>
    </row>
    <row r="40" spans="1:23" x14ac:dyDescent="0.25">
      <c r="A40" s="1" t="s">
        <v>44</v>
      </c>
      <c r="B40" s="1" t="str" cm="1">
        <f t="array" ref="B40:S40">_xlfn.TEXTSPLIT(TRIM(A40), {" ",",",", "})</f>
        <v>Normal</v>
      </c>
      <c r="C40" s="10" t="str">
        <v>100101</v>
      </c>
      <c r="D40" s="12" t="str">
        <v>+2</v>
      </c>
      <c r="E40" s="1" t="str">
        <v>-2</v>
      </c>
      <c r="F40" s="1" t="str">
        <v>0</v>
      </c>
      <c r="G40" s="13" t="str">
        <v>-2</v>
      </c>
      <c r="H40" s="12" t="str">
        <v>+2</v>
      </c>
      <c r="I40" s="1" t="str">
        <v>-2</v>
      </c>
      <c r="J40" s="1" t="str">
        <v>+1</v>
      </c>
      <c r="K40" s="13" t="str">
        <v>-1</v>
      </c>
      <c r="L40" s="12" t="str">
        <v>+2</v>
      </c>
      <c r="M40" s="1" t="str">
        <v>-1</v>
      </c>
      <c r="N40" s="1" t="str">
        <v>+1</v>
      </c>
      <c r="O40" s="13" t="str">
        <v>-2</v>
      </c>
      <c r="P40" s="12" t="str">
        <v>+2</v>
      </c>
      <c r="Q40" s="1" t="str">
        <v>-1</v>
      </c>
      <c r="R40" s="1" t="str">
        <v>0</v>
      </c>
      <c r="S40" s="13" t="str">
        <v>-1</v>
      </c>
      <c r="T40" t="str">
        <f t="shared" si="0"/>
        <v>{3'sd+2,  3'sd-2,  3'sd0,  3'sd-2} : sdn_recovered = {3'b000, 6'b100101}; // Col [000]</v>
      </c>
      <c r="U40" t="str">
        <f t="shared" si="1"/>
        <v>{3'sd+2,  3'sd-2,  3'sd+1,  3'sd-1} : sdn_recovered = {3'b010, 6'b100101}; // Col [010]</v>
      </c>
      <c r="V40" t="str">
        <f t="shared" si="2"/>
        <v>{3'sd+2,  3'sd-1,  3'sd+1,  3'sd-2} : sdn_recovered = {3'b100, 6'b100101}; // Col [100]</v>
      </c>
      <c r="W40" t="str">
        <f t="shared" si="3"/>
        <v>{3'sd+2,  3'sd-1,  3'sd0,  3'sd-1} : sdn_recovered = {3'b110, 6'b100101}; // Col [110]</v>
      </c>
    </row>
    <row r="41" spans="1:23" x14ac:dyDescent="0.25">
      <c r="A41" s="1" t="s">
        <v>45</v>
      </c>
      <c r="B41" s="1" t="str" cm="1">
        <f t="array" ref="B41:S41">_xlfn.TEXTSPLIT(TRIM(A41), {" ",",",", "})</f>
        <v>Normal</v>
      </c>
      <c r="C41" s="10" t="str">
        <v>100110</v>
      </c>
      <c r="D41" s="12" t="str">
        <v>+2</v>
      </c>
      <c r="E41" s="1" t="str">
        <v>0</v>
      </c>
      <c r="F41" s="1" t="str">
        <v>-2</v>
      </c>
      <c r="G41" s="13" t="str">
        <v>-2</v>
      </c>
      <c r="H41" s="12" t="str">
        <v>+2</v>
      </c>
      <c r="I41" s="1" t="str">
        <v>0</v>
      </c>
      <c r="J41" s="1" t="str">
        <v>-1</v>
      </c>
      <c r="K41" s="13" t="str">
        <v>-1</v>
      </c>
      <c r="L41" s="12" t="str">
        <v>+2</v>
      </c>
      <c r="M41" s="1" t="str">
        <v>+1</v>
      </c>
      <c r="N41" s="1" t="str">
        <v>-1</v>
      </c>
      <c r="O41" s="13" t="str">
        <v>-2</v>
      </c>
      <c r="P41" s="12" t="str">
        <v>+2</v>
      </c>
      <c r="Q41" s="1" t="str">
        <v>+1</v>
      </c>
      <c r="R41" s="1" t="str">
        <v>-2</v>
      </c>
      <c r="S41" s="13" t="str">
        <v>-1</v>
      </c>
      <c r="T41" t="str">
        <f t="shared" si="0"/>
        <v>{3'sd+2,  3'sd0,  3'sd-2,  3'sd-2} : sdn_recovered = {3'b000, 6'b100110}; // Col [000]</v>
      </c>
      <c r="U41" t="str">
        <f t="shared" si="1"/>
        <v>{3'sd+2,  3'sd0,  3'sd-1,  3'sd-1} : sdn_recovered = {3'b010, 6'b100110}; // Col [010]</v>
      </c>
      <c r="V41" t="str">
        <f t="shared" si="2"/>
        <v>{3'sd+2,  3'sd+1,  3'sd-1,  3'sd-2} : sdn_recovered = {3'b100, 6'b100110}; // Col [100]</v>
      </c>
      <c r="W41" t="str">
        <f t="shared" si="3"/>
        <v>{3'sd+2,  3'sd+1,  3'sd-2,  3'sd-1} : sdn_recovered = {3'b110, 6'b100110}; // Col [110]</v>
      </c>
    </row>
    <row r="42" spans="1:23" x14ac:dyDescent="0.25">
      <c r="A42" s="1" t="s">
        <v>46</v>
      </c>
      <c r="B42" s="1" t="str" cm="1">
        <f t="array" ref="B42:S42">_xlfn.TEXTSPLIT(TRIM(A42), {" ",",",", "})</f>
        <v>Normal</v>
      </c>
      <c r="C42" s="10" t="str">
        <v>100111</v>
      </c>
      <c r="D42" s="12" t="str">
        <v>+2</v>
      </c>
      <c r="E42" s="1" t="str">
        <v>-2</v>
      </c>
      <c r="F42" s="1" t="str">
        <v>-2</v>
      </c>
      <c r="G42" s="13" t="str">
        <v>-2</v>
      </c>
      <c r="H42" s="12" t="str">
        <v>+2</v>
      </c>
      <c r="I42" s="1" t="str">
        <v>-2</v>
      </c>
      <c r="J42" s="1" t="str">
        <v>-1</v>
      </c>
      <c r="K42" s="13" t="str">
        <v>-1</v>
      </c>
      <c r="L42" s="12" t="str">
        <v>+2</v>
      </c>
      <c r="M42" s="1" t="str">
        <v>-1</v>
      </c>
      <c r="N42" s="1" t="str">
        <v>-1</v>
      </c>
      <c r="O42" s="13" t="str">
        <v>-2</v>
      </c>
      <c r="P42" s="12" t="str">
        <v>+2</v>
      </c>
      <c r="Q42" s="1" t="str">
        <v>-1</v>
      </c>
      <c r="R42" s="1" t="str">
        <v>-2</v>
      </c>
      <c r="S42" s="13" t="str">
        <v>-1</v>
      </c>
      <c r="T42" t="str">
        <f t="shared" si="0"/>
        <v>{3'sd+2,  3'sd-2,  3'sd-2,  3'sd-2} : sdn_recovered = {3'b000, 6'b100111}; // Col [000]</v>
      </c>
      <c r="U42" t="str">
        <f t="shared" si="1"/>
        <v>{3'sd+2,  3'sd-2,  3'sd-1,  3'sd-1} : sdn_recovered = {3'b010, 6'b100111}; // Col [010]</v>
      </c>
      <c r="V42" t="str">
        <f t="shared" si="2"/>
        <v>{3'sd+2,  3'sd-1,  3'sd-1,  3'sd-2} : sdn_recovered = {3'b100, 6'b100111}; // Col [100]</v>
      </c>
      <c r="W42" t="str">
        <f t="shared" si="3"/>
        <v>{3'sd+2,  3'sd-1,  3'sd-2,  3'sd-1} : sdn_recovered = {3'b110, 6'b100111}; // Col [110]</v>
      </c>
    </row>
    <row r="43" spans="1:23" x14ac:dyDescent="0.25">
      <c r="A43" s="1" t="s">
        <v>47</v>
      </c>
      <c r="B43" s="1" t="str" cm="1">
        <f t="array" ref="B43:S43">_xlfn.TEXTSPLIT(TRIM(A43), {" ",",",", "})</f>
        <v>Normal</v>
      </c>
      <c r="C43" s="10" t="str">
        <v>101000</v>
      </c>
      <c r="D43" s="12" t="str">
        <v>0</v>
      </c>
      <c r="E43" s="1" t="str">
        <v>0</v>
      </c>
      <c r="F43" s="1" t="str">
        <v>+2</v>
      </c>
      <c r="G43" s="13" t="str">
        <v>0</v>
      </c>
      <c r="H43" s="12" t="str">
        <v>+1</v>
      </c>
      <c r="I43" s="1" t="str">
        <v>+1</v>
      </c>
      <c r="J43" s="1" t="str">
        <v>+2</v>
      </c>
      <c r="K43" s="13" t="str">
        <v>0</v>
      </c>
      <c r="L43" s="12" t="str">
        <v>+1</v>
      </c>
      <c r="M43" s="1" t="str">
        <v>0</v>
      </c>
      <c r="N43" s="1" t="str">
        <v>+2</v>
      </c>
      <c r="O43" s="13" t="str">
        <v>+1</v>
      </c>
      <c r="P43" s="12" t="str">
        <v>0</v>
      </c>
      <c r="Q43" s="1" t="str">
        <v>+1</v>
      </c>
      <c r="R43" s="1" t="str">
        <v>+2</v>
      </c>
      <c r="S43" s="13" t="str">
        <v>+1</v>
      </c>
      <c r="T43" t="str">
        <f t="shared" si="0"/>
        <v>{3'sd0,  3'sd0,  3'sd+2,  3'sd0} : sdn_recovered = {3'b000, 6'b101000}; // Col [000]</v>
      </c>
      <c r="U43" t="str">
        <f t="shared" si="1"/>
        <v>{3'sd+1,  3'sd+1,  3'sd+2,  3'sd0} : sdn_recovered = {3'b010, 6'b101000}; // Col [010]</v>
      </c>
      <c r="V43" t="str">
        <f t="shared" si="2"/>
        <v>{3'sd+1,  3'sd0,  3'sd+2,  3'sd+1} : sdn_recovered = {3'b100, 6'b101000}; // Col [100]</v>
      </c>
      <c r="W43" t="str">
        <f t="shared" si="3"/>
        <v>{3'sd0,  3'sd+1,  3'sd+2,  3'sd+1} : sdn_recovered = {3'b110, 6'b101000}; // Col [110]</v>
      </c>
    </row>
    <row r="44" spans="1:23" x14ac:dyDescent="0.25">
      <c r="A44" s="1" t="s">
        <v>48</v>
      </c>
      <c r="B44" s="1" t="str" cm="1">
        <f t="array" ref="B44:S44">_xlfn.TEXTSPLIT(TRIM(A44), {" ",",",", "})</f>
        <v>Normal</v>
      </c>
      <c r="C44" s="10" t="str">
        <v>101001</v>
      </c>
      <c r="D44" s="12" t="str">
        <v>-2</v>
      </c>
      <c r="E44" s="1" t="str">
        <v>0</v>
      </c>
      <c r="F44" s="1" t="str">
        <v>+2</v>
      </c>
      <c r="G44" s="13" t="str">
        <v>0</v>
      </c>
      <c r="H44" s="12" t="str">
        <v>-1</v>
      </c>
      <c r="I44" s="1" t="str">
        <v>+1</v>
      </c>
      <c r="J44" s="1" t="str">
        <v>+2</v>
      </c>
      <c r="K44" s="13" t="str">
        <v>0</v>
      </c>
      <c r="L44" s="12" t="str">
        <v>-1</v>
      </c>
      <c r="M44" s="1" t="str">
        <v>0</v>
      </c>
      <c r="N44" s="1" t="str">
        <v>+2</v>
      </c>
      <c r="O44" s="13" t="str">
        <v>+1</v>
      </c>
      <c r="P44" s="12" t="str">
        <v>-2</v>
      </c>
      <c r="Q44" s="1" t="str">
        <v>+1</v>
      </c>
      <c r="R44" s="1" t="str">
        <v>+2</v>
      </c>
      <c r="S44" s="13" t="str">
        <v>+1</v>
      </c>
      <c r="T44" t="str">
        <f t="shared" si="0"/>
        <v>{3'sd-2,  3'sd0,  3'sd+2,  3'sd0} : sdn_recovered = {3'b000, 6'b101001}; // Col [000]</v>
      </c>
      <c r="U44" t="str">
        <f t="shared" si="1"/>
        <v>{3'sd-1,  3'sd+1,  3'sd+2,  3'sd0} : sdn_recovered = {3'b010, 6'b101001}; // Col [010]</v>
      </c>
      <c r="V44" t="str">
        <f t="shared" si="2"/>
        <v>{3'sd-1,  3'sd0,  3'sd+2,  3'sd+1} : sdn_recovered = {3'b100, 6'b101001}; // Col [100]</v>
      </c>
      <c r="W44" t="str">
        <f t="shared" si="3"/>
        <v>{3'sd-2,  3'sd+1,  3'sd+2,  3'sd+1} : sdn_recovered = {3'b110, 6'b101001}; // Col [110]</v>
      </c>
    </row>
    <row r="45" spans="1:23" x14ac:dyDescent="0.25">
      <c r="A45" s="1" t="s">
        <v>49</v>
      </c>
      <c r="B45" s="1" t="str" cm="1">
        <f t="array" ref="B45:S45">_xlfn.TEXTSPLIT(TRIM(A45), {" ",",",", "})</f>
        <v>Normal</v>
      </c>
      <c r="C45" s="10" t="str">
        <v>101010</v>
      </c>
      <c r="D45" s="12" t="str">
        <v>0</v>
      </c>
      <c r="E45" s="1" t="str">
        <v>-2</v>
      </c>
      <c r="F45" s="1" t="str">
        <v>+2</v>
      </c>
      <c r="G45" s="13" t="str">
        <v>0</v>
      </c>
      <c r="H45" s="12" t="str">
        <v>+1</v>
      </c>
      <c r="I45" s="1" t="str">
        <v>-1</v>
      </c>
      <c r="J45" s="1" t="str">
        <v>+2</v>
      </c>
      <c r="K45" s="13" t="str">
        <v>0</v>
      </c>
      <c r="L45" s="12" t="str">
        <v>+1</v>
      </c>
      <c r="M45" s="1" t="str">
        <v>-2</v>
      </c>
      <c r="N45" s="1" t="str">
        <v>+2</v>
      </c>
      <c r="O45" s="13" t="str">
        <v>+1</v>
      </c>
      <c r="P45" s="12" t="str">
        <v>0</v>
      </c>
      <c r="Q45" s="1" t="str">
        <v>-1</v>
      </c>
      <c r="R45" s="1" t="str">
        <v>+2</v>
      </c>
      <c r="S45" s="13" t="str">
        <v>+1</v>
      </c>
      <c r="T45" t="str">
        <f t="shared" si="0"/>
        <v>{3'sd0,  3'sd-2,  3'sd+2,  3'sd0} : sdn_recovered = {3'b000, 6'b101010}; // Col [000]</v>
      </c>
      <c r="U45" t="str">
        <f t="shared" si="1"/>
        <v>{3'sd+1,  3'sd-1,  3'sd+2,  3'sd0} : sdn_recovered = {3'b010, 6'b101010}; // Col [010]</v>
      </c>
      <c r="V45" t="str">
        <f t="shared" si="2"/>
        <v>{3'sd+1,  3'sd-2,  3'sd+2,  3'sd+1} : sdn_recovered = {3'b100, 6'b101010}; // Col [100]</v>
      </c>
      <c r="W45" t="str">
        <f t="shared" si="3"/>
        <v>{3'sd0,  3'sd-1,  3'sd+2,  3'sd+1} : sdn_recovered = {3'b110, 6'b101010}; // Col [110]</v>
      </c>
    </row>
    <row r="46" spans="1:23" x14ac:dyDescent="0.25">
      <c r="A46" s="1" t="s">
        <v>50</v>
      </c>
      <c r="B46" s="1" t="str" cm="1">
        <f t="array" ref="B46:S46">_xlfn.TEXTSPLIT(TRIM(A46), {" ",",",", "})</f>
        <v>Normal</v>
      </c>
      <c r="C46" s="10" t="str">
        <v>101011</v>
      </c>
      <c r="D46" s="12" t="str">
        <v>-2</v>
      </c>
      <c r="E46" s="1" t="str">
        <v>-2</v>
      </c>
      <c r="F46" s="1" t="str">
        <v>+2</v>
      </c>
      <c r="G46" s="13" t="str">
        <v>0</v>
      </c>
      <c r="H46" s="12" t="str">
        <v>-1</v>
      </c>
      <c r="I46" s="1" t="str">
        <v>-1</v>
      </c>
      <c r="J46" s="1" t="str">
        <v>+2</v>
      </c>
      <c r="K46" s="13" t="str">
        <v>0</v>
      </c>
      <c r="L46" s="12" t="str">
        <v>-1</v>
      </c>
      <c r="M46" s="1" t="str">
        <v>-2</v>
      </c>
      <c r="N46" s="1" t="str">
        <v>+2</v>
      </c>
      <c r="O46" s="13" t="str">
        <v>+1</v>
      </c>
      <c r="P46" s="12" t="str">
        <v>-2</v>
      </c>
      <c r="Q46" s="1" t="str">
        <v>-1</v>
      </c>
      <c r="R46" s="1" t="str">
        <v>+2</v>
      </c>
      <c r="S46" s="13" t="str">
        <v>+1</v>
      </c>
      <c r="T46" t="str">
        <f t="shared" si="0"/>
        <v>{3'sd-2,  3'sd-2,  3'sd+2,  3'sd0} : sdn_recovered = {3'b000, 6'b101011}; // Col [000]</v>
      </c>
      <c r="U46" t="str">
        <f t="shared" si="1"/>
        <v>{3'sd-1,  3'sd-1,  3'sd+2,  3'sd0} : sdn_recovered = {3'b010, 6'b101011}; // Col [010]</v>
      </c>
      <c r="V46" t="str">
        <f t="shared" si="2"/>
        <v>{3'sd-1,  3'sd-2,  3'sd+2,  3'sd+1} : sdn_recovered = {3'b100, 6'b101011}; // Col [100]</v>
      </c>
      <c r="W46" t="str">
        <f t="shared" si="3"/>
        <v>{3'sd-2,  3'sd-1,  3'sd+2,  3'sd+1} : sdn_recovered = {3'b110, 6'b101011}; // Col [110]</v>
      </c>
    </row>
    <row r="47" spans="1:23" x14ac:dyDescent="0.25">
      <c r="A47" s="1" t="s">
        <v>51</v>
      </c>
      <c r="B47" s="1" t="str" cm="1">
        <f t="array" ref="B47:S47">_xlfn.TEXTSPLIT(TRIM(A47), {" ",",",", "})</f>
        <v>Normal</v>
      </c>
      <c r="C47" s="10" t="str">
        <v>101100</v>
      </c>
      <c r="D47" s="12" t="str">
        <v>0</v>
      </c>
      <c r="E47" s="1" t="str">
        <v>0</v>
      </c>
      <c r="F47" s="1" t="str">
        <v>+2</v>
      </c>
      <c r="G47" s="13" t="str">
        <v>-2</v>
      </c>
      <c r="H47" s="12" t="str">
        <v>+1</v>
      </c>
      <c r="I47" s="1" t="str">
        <v>+1</v>
      </c>
      <c r="J47" s="1" t="str">
        <v>+2</v>
      </c>
      <c r="K47" s="13" t="str">
        <v>-2</v>
      </c>
      <c r="L47" s="12" t="str">
        <v>+1</v>
      </c>
      <c r="M47" s="1" t="str">
        <v>0</v>
      </c>
      <c r="N47" s="1" t="str">
        <v>+2</v>
      </c>
      <c r="O47" s="13" t="str">
        <v>-1</v>
      </c>
      <c r="P47" s="12" t="str">
        <v>0</v>
      </c>
      <c r="Q47" s="1" t="str">
        <v>+1</v>
      </c>
      <c r="R47" s="1" t="str">
        <v>+2</v>
      </c>
      <c r="S47" s="13" t="str">
        <v>-1</v>
      </c>
      <c r="T47" t="str">
        <f t="shared" si="0"/>
        <v>{3'sd0,  3'sd0,  3'sd+2,  3'sd-2} : sdn_recovered = {3'b000, 6'b101100}; // Col [000]</v>
      </c>
      <c r="U47" t="str">
        <f t="shared" si="1"/>
        <v>{3'sd+1,  3'sd+1,  3'sd+2,  3'sd-2} : sdn_recovered = {3'b010, 6'b101100}; // Col [010]</v>
      </c>
      <c r="V47" t="str">
        <f t="shared" si="2"/>
        <v>{3'sd+1,  3'sd0,  3'sd+2,  3'sd-1} : sdn_recovered = {3'b100, 6'b101100}; // Col [100]</v>
      </c>
      <c r="W47" t="str">
        <f t="shared" si="3"/>
        <v>{3'sd0,  3'sd+1,  3'sd+2,  3'sd-1} : sdn_recovered = {3'b110, 6'b101100}; // Col [110]</v>
      </c>
    </row>
    <row r="48" spans="1:23" x14ac:dyDescent="0.25">
      <c r="A48" s="1" t="s">
        <v>52</v>
      </c>
      <c r="B48" s="1" t="str" cm="1">
        <f t="array" ref="B48:S48">_xlfn.TEXTSPLIT(TRIM(A48), {" ",",",", "})</f>
        <v>Normal</v>
      </c>
      <c r="C48" s="10" t="str">
        <v>101101</v>
      </c>
      <c r="D48" s="12" t="str">
        <v>-2</v>
      </c>
      <c r="E48" s="1" t="str">
        <v>0</v>
      </c>
      <c r="F48" s="1" t="str">
        <v>+2</v>
      </c>
      <c r="G48" s="13" t="str">
        <v>-2</v>
      </c>
      <c r="H48" s="12" t="str">
        <v>-1</v>
      </c>
      <c r="I48" s="1" t="str">
        <v>+1</v>
      </c>
      <c r="J48" s="1" t="str">
        <v>+2</v>
      </c>
      <c r="K48" s="13" t="str">
        <v>-2</v>
      </c>
      <c r="L48" s="12" t="str">
        <v>-1</v>
      </c>
      <c r="M48" s="1" t="str">
        <v>0</v>
      </c>
      <c r="N48" s="1" t="str">
        <v>+2</v>
      </c>
      <c r="O48" s="13" t="str">
        <v>-1</v>
      </c>
      <c r="P48" s="12" t="str">
        <v>-2</v>
      </c>
      <c r="Q48" s="1" t="str">
        <v>+1</v>
      </c>
      <c r="R48" s="1" t="str">
        <v>+2</v>
      </c>
      <c r="S48" s="13" t="str">
        <v>-1</v>
      </c>
      <c r="T48" t="str">
        <f t="shared" si="0"/>
        <v>{3'sd-2,  3'sd0,  3'sd+2,  3'sd-2} : sdn_recovered = {3'b000, 6'b101101}; // Col [000]</v>
      </c>
      <c r="U48" t="str">
        <f t="shared" si="1"/>
        <v>{3'sd-1,  3'sd+1,  3'sd+2,  3'sd-2} : sdn_recovered = {3'b010, 6'b101101}; // Col [010]</v>
      </c>
      <c r="V48" t="str">
        <f t="shared" si="2"/>
        <v>{3'sd-1,  3'sd0,  3'sd+2,  3'sd-1} : sdn_recovered = {3'b100, 6'b101101}; // Col [100]</v>
      </c>
      <c r="W48" t="str">
        <f t="shared" si="3"/>
        <v>{3'sd-2,  3'sd+1,  3'sd+2,  3'sd-1} : sdn_recovered = {3'b110, 6'b101101}; // Col [110]</v>
      </c>
    </row>
    <row r="49" spans="1:23" x14ac:dyDescent="0.25">
      <c r="A49" s="1" t="s">
        <v>53</v>
      </c>
      <c r="B49" s="1" t="str" cm="1">
        <f t="array" ref="B49:S49">_xlfn.TEXTSPLIT(TRIM(A49), {" ",",",", "})</f>
        <v>Normal</v>
      </c>
      <c r="C49" s="10" t="str">
        <v>101110</v>
      </c>
      <c r="D49" s="12" t="str">
        <v>0</v>
      </c>
      <c r="E49" s="1" t="str">
        <v>-2</v>
      </c>
      <c r="F49" s="1" t="str">
        <v>+2</v>
      </c>
      <c r="G49" s="13" t="str">
        <v>-2</v>
      </c>
      <c r="H49" s="12" t="str">
        <v>+1</v>
      </c>
      <c r="I49" s="1" t="str">
        <v>-1</v>
      </c>
      <c r="J49" s="1" t="str">
        <v>+2</v>
      </c>
      <c r="K49" s="13" t="str">
        <v>-2</v>
      </c>
      <c r="L49" s="12" t="str">
        <v>+1</v>
      </c>
      <c r="M49" s="1" t="str">
        <v>-2</v>
      </c>
      <c r="N49" s="1" t="str">
        <v>+2</v>
      </c>
      <c r="O49" s="13" t="str">
        <v>-1</v>
      </c>
      <c r="P49" s="12" t="str">
        <v>0</v>
      </c>
      <c r="Q49" s="1" t="str">
        <v>-1</v>
      </c>
      <c r="R49" s="1" t="str">
        <v>+2</v>
      </c>
      <c r="S49" s="13" t="str">
        <v>-1</v>
      </c>
      <c r="T49" t="str">
        <f t="shared" si="0"/>
        <v>{3'sd0,  3'sd-2,  3'sd+2,  3'sd-2} : sdn_recovered = {3'b000, 6'b101110}; // Col [000]</v>
      </c>
      <c r="U49" t="str">
        <f t="shared" si="1"/>
        <v>{3'sd+1,  3'sd-1,  3'sd+2,  3'sd-2} : sdn_recovered = {3'b010, 6'b101110}; // Col [010]</v>
      </c>
      <c r="V49" t="str">
        <f t="shared" si="2"/>
        <v>{3'sd+1,  3'sd-2,  3'sd+2,  3'sd-1} : sdn_recovered = {3'b100, 6'b101110}; // Col [100]</v>
      </c>
      <c r="W49" t="str">
        <f t="shared" si="3"/>
        <v>{3'sd0,  3'sd-1,  3'sd+2,  3'sd-1} : sdn_recovered = {3'b110, 6'b101110}; // Col [110]</v>
      </c>
    </row>
    <row r="50" spans="1:23" x14ac:dyDescent="0.25">
      <c r="A50" s="1" t="s">
        <v>54</v>
      </c>
      <c r="B50" s="1" t="str" cm="1">
        <f t="array" ref="B50:S50">_xlfn.TEXTSPLIT(TRIM(A50), {" ",",",", "})</f>
        <v>Normal</v>
      </c>
      <c r="C50" s="10" t="str">
        <v>101111</v>
      </c>
      <c r="D50" s="12" t="str">
        <v>-2</v>
      </c>
      <c r="E50" s="1" t="str">
        <v>-2</v>
      </c>
      <c r="F50" s="1" t="str">
        <v>+2</v>
      </c>
      <c r="G50" s="13" t="str">
        <v>-2</v>
      </c>
      <c r="H50" s="12" t="str">
        <v>-1</v>
      </c>
      <c r="I50" s="1" t="str">
        <v>-1</v>
      </c>
      <c r="J50" s="1" t="str">
        <v>+2</v>
      </c>
      <c r="K50" s="13" t="str">
        <v>-2</v>
      </c>
      <c r="L50" s="12" t="str">
        <v>-1</v>
      </c>
      <c r="M50" s="1" t="str">
        <v>-2</v>
      </c>
      <c r="N50" s="1" t="str">
        <v>+2</v>
      </c>
      <c r="O50" s="13" t="str">
        <v>-1</v>
      </c>
      <c r="P50" s="12" t="str">
        <v>-2</v>
      </c>
      <c r="Q50" s="1" t="str">
        <v>-1</v>
      </c>
      <c r="R50" s="1" t="str">
        <v>+2</v>
      </c>
      <c r="S50" s="13" t="str">
        <v>-1</v>
      </c>
      <c r="T50" t="str">
        <f t="shared" si="0"/>
        <v>{3'sd-2,  3'sd-2,  3'sd+2,  3'sd-2} : sdn_recovered = {3'b000, 6'b101111}; // Col [000]</v>
      </c>
      <c r="U50" t="str">
        <f t="shared" si="1"/>
        <v>{3'sd-1,  3'sd-1,  3'sd+2,  3'sd-2} : sdn_recovered = {3'b010, 6'b101111}; // Col [010]</v>
      </c>
      <c r="V50" t="str">
        <f t="shared" si="2"/>
        <v>{3'sd-1,  3'sd-2,  3'sd+2,  3'sd-1} : sdn_recovered = {3'b100, 6'b101111}; // Col [100]</v>
      </c>
      <c r="W50" t="str">
        <f t="shared" si="3"/>
        <v>{3'sd-2,  3'sd-1,  3'sd+2,  3'sd-1} : sdn_recovered = {3'b110, 6'b101111}; // Col [110]</v>
      </c>
    </row>
    <row r="51" spans="1:23" x14ac:dyDescent="0.25">
      <c r="A51" s="1" t="s">
        <v>55</v>
      </c>
      <c r="B51" s="1" t="str" cm="1">
        <f t="array" ref="B51:S51">_xlfn.TEXTSPLIT(TRIM(A51), {" ",",",", "})</f>
        <v>Normal</v>
      </c>
      <c r="C51" s="10" t="str">
        <v>110000</v>
      </c>
      <c r="D51" s="12" t="str">
        <v>0</v>
      </c>
      <c r="E51" s="1" t="str">
        <v>+2</v>
      </c>
      <c r="F51" s="1" t="str">
        <v>0</v>
      </c>
      <c r="G51" s="13" t="str">
        <v>0</v>
      </c>
      <c r="H51" s="12" t="str">
        <v>0</v>
      </c>
      <c r="I51" s="1" t="str">
        <v>+2</v>
      </c>
      <c r="J51" s="1" t="str">
        <v>+1</v>
      </c>
      <c r="K51" s="13" t="str">
        <v>+1</v>
      </c>
      <c r="L51" s="12" t="str">
        <v>+1</v>
      </c>
      <c r="M51" s="1" t="str">
        <v>+2</v>
      </c>
      <c r="N51" s="1" t="str">
        <v>0</v>
      </c>
      <c r="O51" s="13" t="str">
        <v>+1</v>
      </c>
      <c r="P51" s="12" t="str">
        <v>+1</v>
      </c>
      <c r="Q51" s="1" t="str">
        <v>+2</v>
      </c>
      <c r="R51" s="1" t="str">
        <v>+1</v>
      </c>
      <c r="S51" s="13" t="str">
        <v>0</v>
      </c>
      <c r="T51" t="str">
        <f t="shared" si="0"/>
        <v>{3'sd0,  3'sd+2,  3'sd0,  3'sd0} : sdn_recovered = {3'b000, 6'b110000}; // Col [000]</v>
      </c>
      <c r="U51" t="str">
        <f t="shared" si="1"/>
        <v>{3'sd0,  3'sd+2,  3'sd+1,  3'sd+1} : sdn_recovered = {3'b010, 6'b110000}; // Col [010]</v>
      </c>
      <c r="V51" t="str">
        <f t="shared" si="2"/>
        <v>{3'sd+1,  3'sd+2,  3'sd0,  3'sd+1} : sdn_recovered = {3'b100, 6'b110000}; // Col [100]</v>
      </c>
      <c r="W51" t="str">
        <f t="shared" si="3"/>
        <v>{3'sd+1,  3'sd+2,  3'sd+1,  3'sd0} : sdn_recovered = {3'b110, 6'b110000}; // Col [110]</v>
      </c>
    </row>
    <row r="52" spans="1:23" x14ac:dyDescent="0.25">
      <c r="A52" s="1" t="s">
        <v>56</v>
      </c>
      <c r="B52" s="1" t="str" cm="1">
        <f t="array" ref="B52:S52">_xlfn.TEXTSPLIT(TRIM(A52), {" ",",",", "})</f>
        <v>Normal</v>
      </c>
      <c r="C52" s="10" t="str">
        <v>110001</v>
      </c>
      <c r="D52" s="12" t="str">
        <v>-2</v>
      </c>
      <c r="E52" s="1" t="str">
        <v>+2</v>
      </c>
      <c r="F52" s="1" t="str">
        <v>0</v>
      </c>
      <c r="G52" s="13" t="str">
        <v>0</v>
      </c>
      <c r="H52" s="12" t="str">
        <v>-2</v>
      </c>
      <c r="I52" s="1" t="str">
        <v>+2</v>
      </c>
      <c r="J52" s="1" t="str">
        <v>+1</v>
      </c>
      <c r="K52" s="13" t="str">
        <v>+1</v>
      </c>
      <c r="L52" s="12" t="str">
        <v>-1</v>
      </c>
      <c r="M52" s="1" t="str">
        <v>+2</v>
      </c>
      <c r="N52" s="1" t="str">
        <v>0</v>
      </c>
      <c r="O52" s="13" t="str">
        <v>+1</v>
      </c>
      <c r="P52" s="12" t="str">
        <v>-1</v>
      </c>
      <c r="Q52" s="1" t="str">
        <v>+2</v>
      </c>
      <c r="R52" s="1" t="str">
        <v>+1</v>
      </c>
      <c r="S52" s="13" t="str">
        <v>0</v>
      </c>
      <c r="T52" t="str">
        <f t="shared" si="0"/>
        <v>{3'sd-2,  3'sd+2,  3'sd0,  3'sd0} : sdn_recovered = {3'b000, 6'b110001}; // Col [000]</v>
      </c>
      <c r="U52" t="str">
        <f t="shared" si="1"/>
        <v>{3'sd-2,  3'sd+2,  3'sd+1,  3'sd+1} : sdn_recovered = {3'b010, 6'b110001}; // Col [010]</v>
      </c>
      <c r="V52" t="str">
        <f t="shared" si="2"/>
        <v>{3'sd-1,  3'sd+2,  3'sd0,  3'sd+1} : sdn_recovered = {3'b100, 6'b110001}; // Col [100]</v>
      </c>
      <c r="W52" t="str">
        <f t="shared" si="3"/>
        <v>{3'sd-1,  3'sd+2,  3'sd+1,  3'sd0} : sdn_recovered = {3'b110, 6'b110001}; // Col [110]</v>
      </c>
    </row>
    <row r="53" spans="1:23" x14ac:dyDescent="0.25">
      <c r="A53" s="1" t="s">
        <v>57</v>
      </c>
      <c r="B53" s="1" t="str" cm="1">
        <f t="array" ref="B53:S53">_xlfn.TEXTSPLIT(TRIM(A53), {" ",",",", "})</f>
        <v>Normal</v>
      </c>
      <c r="C53" s="10" t="str">
        <v>110010</v>
      </c>
      <c r="D53" s="12" t="str">
        <v>0</v>
      </c>
      <c r="E53" s="1" t="str">
        <v>+2</v>
      </c>
      <c r="F53" s="1" t="str">
        <v>-2</v>
      </c>
      <c r="G53" s="13" t="str">
        <v>0</v>
      </c>
      <c r="H53" s="12" t="str">
        <v>0</v>
      </c>
      <c r="I53" s="1" t="str">
        <v>+2</v>
      </c>
      <c r="J53" s="1" t="str">
        <v>-1</v>
      </c>
      <c r="K53" s="13" t="str">
        <v>+1</v>
      </c>
      <c r="L53" s="12" t="str">
        <v>+1</v>
      </c>
      <c r="M53" s="1" t="str">
        <v>+2</v>
      </c>
      <c r="N53" s="1" t="str">
        <v>-2</v>
      </c>
      <c r="O53" s="13" t="str">
        <v>+1</v>
      </c>
      <c r="P53" s="12" t="str">
        <v>+1</v>
      </c>
      <c r="Q53" s="1" t="str">
        <v>+2</v>
      </c>
      <c r="R53" s="1" t="str">
        <v>-1</v>
      </c>
      <c r="S53" s="13" t="str">
        <v>0</v>
      </c>
      <c r="T53" t="str">
        <f t="shared" si="0"/>
        <v>{3'sd0,  3'sd+2,  3'sd-2,  3'sd0} : sdn_recovered = {3'b000, 6'b110010}; // Col [000]</v>
      </c>
      <c r="U53" t="str">
        <f t="shared" si="1"/>
        <v>{3'sd0,  3'sd+2,  3'sd-1,  3'sd+1} : sdn_recovered = {3'b010, 6'b110010}; // Col [010]</v>
      </c>
      <c r="V53" t="str">
        <f t="shared" si="2"/>
        <v>{3'sd+1,  3'sd+2,  3'sd-2,  3'sd+1} : sdn_recovered = {3'b100, 6'b110010}; // Col [100]</v>
      </c>
      <c r="W53" t="str">
        <f t="shared" si="3"/>
        <v>{3'sd+1,  3'sd+2,  3'sd-1,  3'sd0} : sdn_recovered = {3'b110, 6'b110010}; // Col [110]</v>
      </c>
    </row>
    <row r="54" spans="1:23" x14ac:dyDescent="0.25">
      <c r="A54" s="1" t="s">
        <v>58</v>
      </c>
      <c r="B54" s="1" t="str" cm="1">
        <f t="array" ref="B54:S54">_xlfn.TEXTSPLIT(TRIM(A54), {" ",",",", "})</f>
        <v>Normal</v>
      </c>
      <c r="C54" s="10" t="str">
        <v>110011</v>
      </c>
      <c r="D54" s="12" t="str">
        <v>-2</v>
      </c>
      <c r="E54" s="1" t="str">
        <v>+2</v>
      </c>
      <c r="F54" s="1" t="str">
        <v>-2</v>
      </c>
      <c r="G54" s="13" t="str">
        <v>0</v>
      </c>
      <c r="H54" s="12" t="str">
        <v>-2</v>
      </c>
      <c r="I54" s="1" t="str">
        <v>+2</v>
      </c>
      <c r="J54" s="1" t="str">
        <v>-1</v>
      </c>
      <c r="K54" s="13" t="str">
        <v>+1</v>
      </c>
      <c r="L54" s="12" t="str">
        <v>-1</v>
      </c>
      <c r="M54" s="1" t="str">
        <v>+2</v>
      </c>
      <c r="N54" s="1" t="str">
        <v>-2</v>
      </c>
      <c r="O54" s="13" t="str">
        <v>+1</v>
      </c>
      <c r="P54" s="12" t="str">
        <v>-1</v>
      </c>
      <c r="Q54" s="1" t="str">
        <v>+2</v>
      </c>
      <c r="R54" s="1" t="str">
        <v>-1</v>
      </c>
      <c r="S54" s="13" t="str">
        <v>0</v>
      </c>
      <c r="T54" t="str">
        <f t="shared" si="0"/>
        <v>{3'sd-2,  3'sd+2,  3'sd-2,  3'sd0} : sdn_recovered = {3'b000, 6'b110011}; // Col [000]</v>
      </c>
      <c r="U54" t="str">
        <f t="shared" si="1"/>
        <v>{3'sd-2,  3'sd+2,  3'sd-1,  3'sd+1} : sdn_recovered = {3'b010, 6'b110011}; // Col [010]</v>
      </c>
      <c r="V54" t="str">
        <f t="shared" si="2"/>
        <v>{3'sd-1,  3'sd+2,  3'sd-2,  3'sd+1} : sdn_recovered = {3'b100, 6'b110011}; // Col [100]</v>
      </c>
      <c r="W54" t="str">
        <f t="shared" si="3"/>
        <v>{3'sd-1,  3'sd+2,  3'sd-1,  3'sd0} : sdn_recovered = {3'b110, 6'b110011}; // Col [110]</v>
      </c>
    </row>
    <row r="55" spans="1:23" x14ac:dyDescent="0.25">
      <c r="A55" s="1" t="s">
        <v>59</v>
      </c>
      <c r="B55" s="1" t="str" cm="1">
        <f t="array" ref="B55:S55">_xlfn.TEXTSPLIT(TRIM(A55), {" ",",",", "})</f>
        <v>Normal</v>
      </c>
      <c r="C55" s="10" t="str">
        <v>110100</v>
      </c>
      <c r="D55" s="12" t="str">
        <v>0</v>
      </c>
      <c r="E55" s="1" t="str">
        <v>+2</v>
      </c>
      <c r="F55" s="1" t="str">
        <v>0</v>
      </c>
      <c r="G55" s="13" t="str">
        <v>-2</v>
      </c>
      <c r="H55" s="12" t="str">
        <v>0</v>
      </c>
      <c r="I55" s="1" t="str">
        <v>+2</v>
      </c>
      <c r="J55" s="1" t="str">
        <v>+1</v>
      </c>
      <c r="K55" s="13" t="str">
        <v>-1</v>
      </c>
      <c r="L55" s="12" t="str">
        <v>+1</v>
      </c>
      <c r="M55" s="1" t="str">
        <v>+2</v>
      </c>
      <c r="N55" s="1" t="str">
        <v>0</v>
      </c>
      <c r="O55" s="13" t="str">
        <v>-1</v>
      </c>
      <c r="P55" s="12" t="str">
        <v>+1</v>
      </c>
      <c r="Q55" s="1" t="str">
        <v>+2</v>
      </c>
      <c r="R55" s="1" t="str">
        <v>+1</v>
      </c>
      <c r="S55" s="13" t="str">
        <v>-2</v>
      </c>
      <c r="T55" t="str">
        <f t="shared" si="0"/>
        <v>{3'sd0,  3'sd+2,  3'sd0,  3'sd-2} : sdn_recovered = {3'b000, 6'b110100}; // Col [000]</v>
      </c>
      <c r="U55" t="str">
        <f t="shared" si="1"/>
        <v>{3'sd0,  3'sd+2,  3'sd+1,  3'sd-1} : sdn_recovered = {3'b010, 6'b110100}; // Col [010]</v>
      </c>
      <c r="V55" t="str">
        <f t="shared" si="2"/>
        <v>{3'sd+1,  3'sd+2,  3'sd0,  3'sd-1} : sdn_recovered = {3'b100, 6'b110100}; // Col [100]</v>
      </c>
      <c r="W55" t="str">
        <f t="shared" si="3"/>
        <v>{3'sd+1,  3'sd+2,  3'sd+1,  3'sd-2} : sdn_recovered = {3'b110, 6'b110100}; // Col [110]</v>
      </c>
    </row>
    <row r="56" spans="1:23" x14ac:dyDescent="0.25">
      <c r="A56" s="1" t="s">
        <v>60</v>
      </c>
      <c r="B56" s="1" t="str" cm="1">
        <f t="array" ref="B56:S56">_xlfn.TEXTSPLIT(TRIM(A56), {" ",",",", "})</f>
        <v>Normal</v>
      </c>
      <c r="C56" s="10" t="str">
        <v>110101</v>
      </c>
      <c r="D56" s="12" t="str">
        <v>-2</v>
      </c>
      <c r="E56" s="1" t="str">
        <v>+2</v>
      </c>
      <c r="F56" s="1" t="str">
        <v>0</v>
      </c>
      <c r="G56" s="13" t="str">
        <v>-2</v>
      </c>
      <c r="H56" s="12" t="str">
        <v>-2</v>
      </c>
      <c r="I56" s="1" t="str">
        <v>+2</v>
      </c>
      <c r="J56" s="1" t="str">
        <v>+1</v>
      </c>
      <c r="K56" s="13" t="str">
        <v>-1</v>
      </c>
      <c r="L56" s="12" t="str">
        <v>-1</v>
      </c>
      <c r="M56" s="1" t="str">
        <v>+2</v>
      </c>
      <c r="N56" s="1" t="str">
        <v>0</v>
      </c>
      <c r="O56" s="13" t="str">
        <v>-1</v>
      </c>
      <c r="P56" s="12" t="str">
        <v>-1</v>
      </c>
      <c r="Q56" s="1" t="str">
        <v>+2</v>
      </c>
      <c r="R56" s="1" t="str">
        <v>+1</v>
      </c>
      <c r="S56" s="13" t="str">
        <v>-2</v>
      </c>
      <c r="T56" t="str">
        <f t="shared" si="0"/>
        <v>{3'sd-2,  3'sd+2,  3'sd0,  3'sd-2} : sdn_recovered = {3'b000, 6'b110101}; // Col [000]</v>
      </c>
      <c r="U56" t="str">
        <f t="shared" si="1"/>
        <v>{3'sd-2,  3'sd+2,  3'sd+1,  3'sd-1} : sdn_recovered = {3'b010, 6'b110101}; // Col [010]</v>
      </c>
      <c r="V56" t="str">
        <f t="shared" si="2"/>
        <v>{3'sd-1,  3'sd+2,  3'sd0,  3'sd-1} : sdn_recovered = {3'b100, 6'b110101}; // Col [100]</v>
      </c>
      <c r="W56" t="str">
        <f t="shared" si="3"/>
        <v>{3'sd-1,  3'sd+2,  3'sd+1,  3'sd-2} : sdn_recovered = {3'b110, 6'b110101}; // Col [110]</v>
      </c>
    </row>
    <row r="57" spans="1:23" x14ac:dyDescent="0.25">
      <c r="A57" s="1" t="s">
        <v>61</v>
      </c>
      <c r="B57" s="1" t="str" cm="1">
        <f t="array" ref="B57:S57">_xlfn.TEXTSPLIT(TRIM(A57), {" ",",",", "})</f>
        <v>Normal</v>
      </c>
      <c r="C57" s="10" t="str">
        <v>110110</v>
      </c>
      <c r="D57" s="12" t="str">
        <v>0</v>
      </c>
      <c r="E57" s="1" t="str">
        <v>+2</v>
      </c>
      <c r="F57" s="1" t="str">
        <v>-2</v>
      </c>
      <c r="G57" s="13" t="str">
        <v>-2</v>
      </c>
      <c r="H57" s="12" t="str">
        <v>0</v>
      </c>
      <c r="I57" s="1" t="str">
        <v>+2</v>
      </c>
      <c r="J57" s="1" t="str">
        <v>-1</v>
      </c>
      <c r="K57" s="13" t="str">
        <v>-1</v>
      </c>
      <c r="L57" s="12" t="str">
        <v>+1</v>
      </c>
      <c r="M57" s="1" t="str">
        <v>+2</v>
      </c>
      <c r="N57" s="1" t="str">
        <v>-2</v>
      </c>
      <c r="O57" s="13" t="str">
        <v>-1</v>
      </c>
      <c r="P57" s="12" t="str">
        <v>+1</v>
      </c>
      <c r="Q57" s="1" t="str">
        <v>+2</v>
      </c>
      <c r="R57" s="1" t="str">
        <v>-1</v>
      </c>
      <c r="S57" s="13" t="str">
        <v>-2</v>
      </c>
      <c r="T57" t="str">
        <f t="shared" si="0"/>
        <v>{3'sd0,  3'sd+2,  3'sd-2,  3'sd-2} : sdn_recovered = {3'b000, 6'b110110}; // Col [000]</v>
      </c>
      <c r="U57" t="str">
        <f t="shared" si="1"/>
        <v>{3'sd0,  3'sd+2,  3'sd-1,  3'sd-1} : sdn_recovered = {3'b010, 6'b110110}; // Col [010]</v>
      </c>
      <c r="V57" t="str">
        <f t="shared" si="2"/>
        <v>{3'sd+1,  3'sd+2,  3'sd-2,  3'sd-1} : sdn_recovered = {3'b100, 6'b110110}; // Col [100]</v>
      </c>
      <c r="W57" t="str">
        <f t="shared" si="3"/>
        <v>{3'sd+1,  3'sd+2,  3'sd-1,  3'sd-2} : sdn_recovered = {3'b110, 6'b110110}; // Col [110]</v>
      </c>
    </row>
    <row r="58" spans="1:23" x14ac:dyDescent="0.25">
      <c r="A58" s="1" t="s">
        <v>62</v>
      </c>
      <c r="B58" s="1" t="str" cm="1">
        <f t="array" ref="B58:S58">_xlfn.TEXTSPLIT(TRIM(A58), {" ",",",", "})</f>
        <v>Normal</v>
      </c>
      <c r="C58" s="10" t="str">
        <v>110111</v>
      </c>
      <c r="D58" s="12" t="str">
        <v>-2</v>
      </c>
      <c r="E58" s="1" t="str">
        <v>+2</v>
      </c>
      <c r="F58" s="1" t="str">
        <v>-2</v>
      </c>
      <c r="G58" s="13" t="str">
        <v>-2</v>
      </c>
      <c r="H58" s="12" t="str">
        <v>-2</v>
      </c>
      <c r="I58" s="1" t="str">
        <v>+2</v>
      </c>
      <c r="J58" s="1" t="str">
        <v>-1</v>
      </c>
      <c r="K58" s="13" t="str">
        <v>-1</v>
      </c>
      <c r="L58" s="12" t="str">
        <v>-1</v>
      </c>
      <c r="M58" s="1" t="str">
        <v>+2</v>
      </c>
      <c r="N58" s="1" t="str">
        <v>-2</v>
      </c>
      <c r="O58" s="13" t="str">
        <v>-1</v>
      </c>
      <c r="P58" s="12" t="str">
        <v>-1</v>
      </c>
      <c r="Q58" s="1" t="str">
        <v>+2</v>
      </c>
      <c r="R58" s="1" t="str">
        <v>-1</v>
      </c>
      <c r="S58" s="13" t="str">
        <v>-2</v>
      </c>
      <c r="T58" t="str">
        <f t="shared" si="0"/>
        <v>{3'sd-2,  3'sd+2,  3'sd-2,  3'sd-2} : sdn_recovered = {3'b000, 6'b110111}; // Col [000]</v>
      </c>
      <c r="U58" t="str">
        <f t="shared" si="1"/>
        <v>{3'sd-2,  3'sd+2,  3'sd-1,  3'sd-1} : sdn_recovered = {3'b010, 6'b110111}; // Col [010]</v>
      </c>
      <c r="V58" t="str">
        <f t="shared" si="2"/>
        <v>{3'sd-1,  3'sd+2,  3'sd-2,  3'sd-1} : sdn_recovered = {3'b100, 6'b110111}; // Col [100]</v>
      </c>
      <c r="W58" t="str">
        <f t="shared" si="3"/>
        <v>{3'sd-1,  3'sd+2,  3'sd-1,  3'sd-2} : sdn_recovered = {3'b110, 6'b110111}; // Col [110]</v>
      </c>
    </row>
    <row r="59" spans="1:23" x14ac:dyDescent="0.25">
      <c r="A59" s="1" t="s">
        <v>63</v>
      </c>
      <c r="B59" s="1" t="str" cm="1">
        <f t="array" ref="B59:S59">_xlfn.TEXTSPLIT(TRIM(A59), {" ",",",", "})</f>
        <v>Normal</v>
      </c>
      <c r="C59" s="10" t="str">
        <v>111000</v>
      </c>
      <c r="D59" s="12" t="str">
        <v>0</v>
      </c>
      <c r="E59" s="1" t="str">
        <v>0</v>
      </c>
      <c r="F59" s="1" t="str">
        <v>0</v>
      </c>
      <c r="G59" s="13" t="str">
        <v>+2</v>
      </c>
      <c r="H59" s="12" t="str">
        <v>+1</v>
      </c>
      <c r="I59" s="1" t="str">
        <v>+1</v>
      </c>
      <c r="J59" s="1" t="str">
        <v>0</v>
      </c>
      <c r="K59" s="13" t="str">
        <v>+2</v>
      </c>
      <c r="L59" s="12" t="str">
        <v>0</v>
      </c>
      <c r="M59" s="1" t="str">
        <v>+1</v>
      </c>
      <c r="N59" s="1" t="str">
        <v>+1</v>
      </c>
      <c r="O59" s="13" t="str">
        <v>+2</v>
      </c>
      <c r="P59" s="12" t="str">
        <v>+1</v>
      </c>
      <c r="Q59" s="1" t="str">
        <v>0</v>
      </c>
      <c r="R59" s="1" t="str">
        <v>+1</v>
      </c>
      <c r="S59" s="13" t="str">
        <v>+2</v>
      </c>
      <c r="T59" t="str">
        <f t="shared" si="0"/>
        <v>{3'sd0,  3'sd0,  3'sd0,  3'sd+2} : sdn_recovered = {3'b000, 6'b111000}; // Col [000]</v>
      </c>
      <c r="U59" t="str">
        <f t="shared" si="1"/>
        <v>{3'sd+1,  3'sd+1,  3'sd0,  3'sd+2} : sdn_recovered = {3'b010, 6'b111000}; // Col [010]</v>
      </c>
      <c r="V59" t="str">
        <f t="shared" si="2"/>
        <v>{3'sd0,  3'sd+1,  3'sd+1,  3'sd+2} : sdn_recovered = {3'b100, 6'b111000}; // Col [100]</v>
      </c>
      <c r="W59" t="str">
        <f t="shared" si="3"/>
        <v>{3'sd+1,  3'sd0,  3'sd+1,  3'sd+2} : sdn_recovered = {3'b110, 6'b111000}; // Col [110]</v>
      </c>
    </row>
    <row r="60" spans="1:23" x14ac:dyDescent="0.25">
      <c r="A60" s="1" t="s">
        <v>64</v>
      </c>
      <c r="B60" s="1" t="str" cm="1">
        <f t="array" ref="B60:S60">_xlfn.TEXTSPLIT(TRIM(A60), {" ",",",", "})</f>
        <v>Normal</v>
      </c>
      <c r="C60" s="10" t="str">
        <v>111001</v>
      </c>
      <c r="D60" s="12" t="str">
        <v>-2</v>
      </c>
      <c r="E60" s="1" t="str">
        <v>0</v>
      </c>
      <c r="F60" s="1" t="str">
        <v>0</v>
      </c>
      <c r="G60" s="13" t="str">
        <v>+2</v>
      </c>
      <c r="H60" s="12" t="str">
        <v>-1</v>
      </c>
      <c r="I60" s="1" t="str">
        <v>+1</v>
      </c>
      <c r="J60" s="1" t="str">
        <v>0</v>
      </c>
      <c r="K60" s="13" t="str">
        <v>+2</v>
      </c>
      <c r="L60" s="12" t="str">
        <v>-2</v>
      </c>
      <c r="M60" s="1" t="str">
        <v>+1</v>
      </c>
      <c r="N60" s="1" t="str">
        <v>+1</v>
      </c>
      <c r="O60" s="13" t="str">
        <v>+2</v>
      </c>
      <c r="P60" s="12" t="str">
        <v>-1</v>
      </c>
      <c r="Q60" s="1" t="str">
        <v>0</v>
      </c>
      <c r="R60" s="1" t="str">
        <v>+1</v>
      </c>
      <c r="S60" s="13" t="str">
        <v>+2</v>
      </c>
      <c r="T60" t="str">
        <f t="shared" si="0"/>
        <v>{3'sd-2,  3'sd0,  3'sd0,  3'sd+2} : sdn_recovered = {3'b000, 6'b111001}; // Col [000]</v>
      </c>
      <c r="U60" t="str">
        <f t="shared" si="1"/>
        <v>{3'sd-1,  3'sd+1,  3'sd0,  3'sd+2} : sdn_recovered = {3'b010, 6'b111001}; // Col [010]</v>
      </c>
      <c r="V60" t="str">
        <f t="shared" si="2"/>
        <v>{3'sd-2,  3'sd+1,  3'sd+1,  3'sd+2} : sdn_recovered = {3'b100, 6'b111001}; // Col [100]</v>
      </c>
      <c r="W60" t="str">
        <f t="shared" si="3"/>
        <v>{3'sd-1,  3'sd0,  3'sd+1,  3'sd+2} : sdn_recovered = {3'b110, 6'b111001}; // Col [110]</v>
      </c>
    </row>
    <row r="61" spans="1:23" x14ac:dyDescent="0.25">
      <c r="A61" s="1" t="s">
        <v>65</v>
      </c>
      <c r="B61" s="1" t="str" cm="1">
        <f t="array" ref="B61:S61">_xlfn.TEXTSPLIT(TRIM(A61), {" ",",",", "})</f>
        <v>Normal</v>
      </c>
      <c r="C61" s="10" t="str">
        <v>111010</v>
      </c>
      <c r="D61" s="12" t="str">
        <v>0</v>
      </c>
      <c r="E61" s="1" t="str">
        <v>-2</v>
      </c>
      <c r="F61" s="1" t="str">
        <v>0</v>
      </c>
      <c r="G61" s="13" t="str">
        <v>+2</v>
      </c>
      <c r="H61" s="12" t="str">
        <v>+1</v>
      </c>
      <c r="I61" s="1" t="str">
        <v>-1</v>
      </c>
      <c r="J61" s="1" t="str">
        <v>0</v>
      </c>
      <c r="K61" s="13" t="str">
        <v>+2</v>
      </c>
      <c r="L61" s="12" t="str">
        <v>0</v>
      </c>
      <c r="M61" s="1" t="str">
        <v>-1</v>
      </c>
      <c r="N61" s="1" t="str">
        <v>+1</v>
      </c>
      <c r="O61" s="13" t="str">
        <v>+2</v>
      </c>
      <c r="P61" s="12" t="str">
        <v>+1</v>
      </c>
      <c r="Q61" s="1" t="str">
        <v>-2</v>
      </c>
      <c r="R61" s="1" t="str">
        <v>+1</v>
      </c>
      <c r="S61" s="13" t="str">
        <v>+2</v>
      </c>
      <c r="T61" t="str">
        <f t="shared" si="0"/>
        <v>{3'sd0,  3'sd-2,  3'sd0,  3'sd+2} : sdn_recovered = {3'b000, 6'b111010}; // Col [000]</v>
      </c>
      <c r="U61" t="str">
        <f t="shared" si="1"/>
        <v>{3'sd+1,  3'sd-1,  3'sd0,  3'sd+2} : sdn_recovered = {3'b010, 6'b111010}; // Col [010]</v>
      </c>
      <c r="V61" t="str">
        <f t="shared" si="2"/>
        <v>{3'sd0,  3'sd-1,  3'sd+1,  3'sd+2} : sdn_recovered = {3'b100, 6'b111010}; // Col [100]</v>
      </c>
      <c r="W61" t="str">
        <f t="shared" si="3"/>
        <v>{3'sd+1,  3'sd-2,  3'sd+1,  3'sd+2} : sdn_recovered = {3'b110, 6'b111010}; // Col [110]</v>
      </c>
    </row>
    <row r="62" spans="1:23" x14ac:dyDescent="0.25">
      <c r="A62" s="1" t="s">
        <v>66</v>
      </c>
      <c r="B62" s="1" t="str" cm="1">
        <f t="array" ref="B62:S62">_xlfn.TEXTSPLIT(TRIM(A62), {" ",",",", "})</f>
        <v>Normal</v>
      </c>
      <c r="C62" s="10" t="str">
        <v>111011</v>
      </c>
      <c r="D62" s="12" t="str">
        <v>-2</v>
      </c>
      <c r="E62" s="1" t="str">
        <v>-2</v>
      </c>
      <c r="F62" s="1" t="str">
        <v>0</v>
      </c>
      <c r="G62" s="13" t="str">
        <v>+2</v>
      </c>
      <c r="H62" s="12" t="str">
        <v>-1</v>
      </c>
      <c r="I62" s="1" t="str">
        <v>-1</v>
      </c>
      <c r="J62" s="1" t="str">
        <v>0</v>
      </c>
      <c r="K62" s="13" t="str">
        <v>+2</v>
      </c>
      <c r="L62" s="12" t="str">
        <v>-2</v>
      </c>
      <c r="M62" s="1" t="str">
        <v>-1</v>
      </c>
      <c r="N62" s="1" t="str">
        <v>+1</v>
      </c>
      <c r="O62" s="13" t="str">
        <v>+2</v>
      </c>
      <c r="P62" s="12" t="str">
        <v>-1</v>
      </c>
      <c r="Q62" s="1" t="str">
        <v>-2</v>
      </c>
      <c r="R62" s="1" t="str">
        <v>+1</v>
      </c>
      <c r="S62" s="13" t="str">
        <v>+2</v>
      </c>
      <c r="T62" t="str">
        <f t="shared" si="0"/>
        <v>{3'sd-2,  3'sd-2,  3'sd0,  3'sd+2} : sdn_recovered = {3'b000, 6'b111011}; // Col [000]</v>
      </c>
      <c r="U62" t="str">
        <f t="shared" si="1"/>
        <v>{3'sd-1,  3'sd-1,  3'sd0,  3'sd+2} : sdn_recovered = {3'b010, 6'b111011}; // Col [010]</v>
      </c>
      <c r="V62" t="str">
        <f t="shared" si="2"/>
        <v>{3'sd-2,  3'sd-1,  3'sd+1,  3'sd+2} : sdn_recovered = {3'b100, 6'b111011}; // Col [100]</v>
      </c>
      <c r="W62" t="str">
        <f t="shared" si="3"/>
        <v>{3'sd-1,  3'sd-2,  3'sd+1,  3'sd+2} : sdn_recovered = {3'b110, 6'b111011}; // Col [110]</v>
      </c>
    </row>
    <row r="63" spans="1:23" x14ac:dyDescent="0.25">
      <c r="A63" s="1" t="s">
        <v>67</v>
      </c>
      <c r="B63" s="1" t="str" cm="1">
        <f t="array" ref="B63:S63">_xlfn.TEXTSPLIT(TRIM(A63), {" ",",",", "})</f>
        <v>Normal</v>
      </c>
      <c r="C63" s="10" t="str">
        <v>111100</v>
      </c>
      <c r="D63" s="12" t="str">
        <v>0</v>
      </c>
      <c r="E63" s="1" t="str">
        <v>0</v>
      </c>
      <c r="F63" s="1" t="str">
        <v>-2</v>
      </c>
      <c r="G63" s="13" t="str">
        <v>+2</v>
      </c>
      <c r="H63" s="12" t="str">
        <v>+1</v>
      </c>
      <c r="I63" s="1" t="str">
        <v>+1</v>
      </c>
      <c r="J63" s="1" t="str">
        <v>-2</v>
      </c>
      <c r="K63" s="13" t="str">
        <v>+2</v>
      </c>
      <c r="L63" s="12" t="str">
        <v>0</v>
      </c>
      <c r="M63" s="1" t="str">
        <v>+1</v>
      </c>
      <c r="N63" s="1" t="str">
        <v>-1</v>
      </c>
      <c r="O63" s="13" t="str">
        <v>+2</v>
      </c>
      <c r="P63" s="12" t="str">
        <v>+1</v>
      </c>
      <c r="Q63" s="1" t="str">
        <v>0</v>
      </c>
      <c r="R63" s="1" t="str">
        <v>-1</v>
      </c>
      <c r="S63" s="13" t="str">
        <v>+2</v>
      </c>
      <c r="T63" t="str">
        <f t="shared" si="0"/>
        <v>{3'sd0,  3'sd0,  3'sd-2,  3'sd+2} : sdn_recovered = {3'b000, 6'b111100}; // Col [000]</v>
      </c>
      <c r="U63" t="str">
        <f t="shared" si="1"/>
        <v>{3'sd+1,  3'sd+1,  3'sd-2,  3'sd+2} : sdn_recovered = {3'b010, 6'b111100}; // Col [010]</v>
      </c>
      <c r="V63" t="str">
        <f t="shared" si="2"/>
        <v>{3'sd0,  3'sd+1,  3'sd-1,  3'sd+2} : sdn_recovered = {3'b100, 6'b111100}; // Col [100]</v>
      </c>
      <c r="W63" t="str">
        <f t="shared" si="3"/>
        <v>{3'sd+1,  3'sd0,  3'sd-1,  3'sd+2} : sdn_recovered = {3'b110, 6'b111100}; // Col [110]</v>
      </c>
    </row>
    <row r="64" spans="1:23" x14ac:dyDescent="0.25">
      <c r="A64" s="1" t="s">
        <v>68</v>
      </c>
      <c r="B64" s="1" t="str" cm="1">
        <f t="array" ref="B64:S64">_xlfn.TEXTSPLIT(TRIM(A64), {" ",",",", "})</f>
        <v>Normal</v>
      </c>
      <c r="C64" s="10" t="str">
        <v>111101</v>
      </c>
      <c r="D64" s="12" t="str">
        <v>-2</v>
      </c>
      <c r="E64" s="1" t="str">
        <v>0</v>
      </c>
      <c r="F64" s="1" t="str">
        <v>-2</v>
      </c>
      <c r="G64" s="13" t="str">
        <v>+2</v>
      </c>
      <c r="H64" s="12" t="str">
        <v>-1</v>
      </c>
      <c r="I64" s="1" t="str">
        <v>+1</v>
      </c>
      <c r="J64" s="1" t="str">
        <v>-2</v>
      </c>
      <c r="K64" s="13" t="str">
        <v>+2</v>
      </c>
      <c r="L64" s="12" t="str">
        <v>-2</v>
      </c>
      <c r="M64" s="1" t="str">
        <v>+1</v>
      </c>
      <c r="N64" s="1" t="str">
        <v>-1</v>
      </c>
      <c r="O64" s="13" t="str">
        <v>+2</v>
      </c>
      <c r="P64" s="12" t="str">
        <v>-1</v>
      </c>
      <c r="Q64" s="1" t="str">
        <v>0</v>
      </c>
      <c r="R64" s="1" t="str">
        <v>-1</v>
      </c>
      <c r="S64" s="13" t="str">
        <v>+2</v>
      </c>
      <c r="T64" t="str">
        <f t="shared" si="0"/>
        <v>{3'sd-2,  3'sd0,  3'sd-2,  3'sd+2} : sdn_recovered = {3'b000, 6'b111101}; // Col [000]</v>
      </c>
      <c r="U64" t="str">
        <f t="shared" si="1"/>
        <v>{3'sd-1,  3'sd+1,  3'sd-2,  3'sd+2} : sdn_recovered = {3'b010, 6'b111101}; // Col [010]</v>
      </c>
      <c r="V64" t="str">
        <f t="shared" si="2"/>
        <v>{3'sd-2,  3'sd+1,  3'sd-1,  3'sd+2} : sdn_recovered = {3'b100, 6'b111101}; // Col [100]</v>
      </c>
      <c r="W64" t="str">
        <f t="shared" si="3"/>
        <v>{3'sd-1,  3'sd0,  3'sd-1,  3'sd+2} : sdn_recovered = {3'b110, 6'b111101}; // Col [110]</v>
      </c>
    </row>
    <row r="65" spans="1:23" x14ac:dyDescent="0.25">
      <c r="A65" s="1" t="s">
        <v>69</v>
      </c>
      <c r="B65" s="1" t="str" cm="1">
        <f t="array" ref="B65:S65">_xlfn.TEXTSPLIT(TRIM(A65), {" ",",",", "})</f>
        <v>Normal</v>
      </c>
      <c r="C65" s="10" t="str">
        <v>111110</v>
      </c>
      <c r="D65" s="12" t="str">
        <v>0</v>
      </c>
      <c r="E65" s="1" t="str">
        <v>-2</v>
      </c>
      <c r="F65" s="1" t="str">
        <v>-2</v>
      </c>
      <c r="G65" s="13" t="str">
        <v>+2</v>
      </c>
      <c r="H65" s="12" t="str">
        <v>+1</v>
      </c>
      <c r="I65" s="1" t="str">
        <v>-1</v>
      </c>
      <c r="J65" s="1" t="str">
        <v>-2</v>
      </c>
      <c r="K65" s="13" t="str">
        <v>+2</v>
      </c>
      <c r="L65" s="12" t="str">
        <v>0</v>
      </c>
      <c r="M65" s="1" t="str">
        <v>-1</v>
      </c>
      <c r="N65" s="1" t="str">
        <v>-1</v>
      </c>
      <c r="O65" s="13" t="str">
        <v>+2</v>
      </c>
      <c r="P65" s="12" t="str">
        <v>+1</v>
      </c>
      <c r="Q65" s="1" t="str">
        <v>-2</v>
      </c>
      <c r="R65" s="1" t="str">
        <v>-1</v>
      </c>
      <c r="S65" s="13" t="str">
        <v>+2</v>
      </c>
      <c r="T65" t="str">
        <f t="shared" si="0"/>
        <v>{3'sd0,  3'sd-2,  3'sd-2,  3'sd+2} : sdn_recovered = {3'b000, 6'b111110}; // Col [000]</v>
      </c>
      <c r="U65" t="str">
        <f t="shared" si="1"/>
        <v>{3'sd+1,  3'sd-1,  3'sd-2,  3'sd+2} : sdn_recovered = {3'b010, 6'b111110}; // Col [010]</v>
      </c>
      <c r="V65" t="str">
        <f t="shared" si="2"/>
        <v>{3'sd0,  3'sd-1,  3'sd-1,  3'sd+2} : sdn_recovered = {3'b100, 6'b111110}; // Col [100]</v>
      </c>
      <c r="W65" t="str">
        <f t="shared" si="3"/>
        <v>{3'sd+1,  3'sd-2,  3'sd-1,  3'sd+2} : sdn_recovered = {3'b110, 6'b111110}; // Col [110]</v>
      </c>
    </row>
    <row r="66" spans="1:23" x14ac:dyDescent="0.25">
      <c r="A66" s="1" t="s">
        <v>70</v>
      </c>
      <c r="B66" s="1" t="str" cm="1">
        <f t="array" ref="B66:S66">_xlfn.TEXTSPLIT(TRIM(A66), {" ",",",", "})</f>
        <v>Normal</v>
      </c>
      <c r="C66" s="10" t="str">
        <v>111111</v>
      </c>
      <c r="D66" s="12" t="str">
        <v>-2</v>
      </c>
      <c r="E66" s="1" t="str">
        <v>-2</v>
      </c>
      <c r="F66" s="1" t="str">
        <v>-2</v>
      </c>
      <c r="G66" s="13" t="str">
        <v>+2</v>
      </c>
      <c r="H66" s="12" t="str">
        <v>-1</v>
      </c>
      <c r="I66" s="1" t="str">
        <v>-1</v>
      </c>
      <c r="J66" s="1" t="str">
        <v>-2</v>
      </c>
      <c r="K66" s="13" t="str">
        <v>+2</v>
      </c>
      <c r="L66" s="12" t="str">
        <v>-2</v>
      </c>
      <c r="M66" s="1" t="str">
        <v>-1</v>
      </c>
      <c r="N66" s="1" t="str">
        <v>-1</v>
      </c>
      <c r="O66" s="13" t="str">
        <v>+2</v>
      </c>
      <c r="P66" s="12" t="str">
        <v>-1</v>
      </c>
      <c r="Q66" s="1" t="str">
        <v>-2</v>
      </c>
      <c r="R66" s="1" t="str">
        <v>-1</v>
      </c>
      <c r="S66" s="13" t="str">
        <v>+2</v>
      </c>
      <c r="T66" t="str">
        <f t="shared" si="0"/>
        <v>{3'sd-2,  3'sd-2,  3'sd-2,  3'sd+2} : sdn_recovered = {3'b000, 6'b111111}; // Col [000]</v>
      </c>
      <c r="U66" t="str">
        <f t="shared" si="1"/>
        <v>{3'sd-1,  3'sd-1,  3'sd-2,  3'sd+2} : sdn_recovered = {3'b010, 6'b111111}; // Col [010]</v>
      </c>
      <c r="V66" t="str">
        <f t="shared" si="2"/>
        <v>{3'sd-2,  3'sd-1,  3'sd-1,  3'sd+2} : sdn_recovered = {3'b100, 6'b111111}; // Col [100]</v>
      </c>
      <c r="W66" t="str">
        <f t="shared" si="3"/>
        <v>{3'sd-1,  3'sd-2,  3'sd-1,  3'sd+2} : sdn_recovered = {3'b110, 6'b111111}; // Col [110]</v>
      </c>
    </row>
    <row r="67" spans="1:23" x14ac:dyDescent="0.25">
      <c r="A67" s="1" t="s">
        <v>71</v>
      </c>
      <c r="B67" s="1" t="str" cm="1">
        <f t="array" ref="B67:S67">_xlfn.TEXTSPLIT(TRIM(A67), {" ",",",", "})</f>
        <v>xmt_err</v>
      </c>
      <c r="C67" s="10" t="str">
        <v>XXXXXX</v>
      </c>
      <c r="D67" s="12" t="str">
        <v>0</v>
      </c>
      <c r="E67" s="1" t="str">
        <v>+2</v>
      </c>
      <c r="F67" s="1" t="str">
        <v>+2</v>
      </c>
      <c r="G67" s="13" t="str">
        <v>0</v>
      </c>
      <c r="H67" s="12" t="str">
        <v>+1</v>
      </c>
      <c r="I67" s="1" t="str">
        <v>+1</v>
      </c>
      <c r="J67" s="1" t="str">
        <v>+2</v>
      </c>
      <c r="K67" s="13" t="str">
        <v>+2</v>
      </c>
      <c r="L67" s="12" t="str">
        <v>+2</v>
      </c>
      <c r="M67" s="1" t="str">
        <v>+1</v>
      </c>
      <c r="N67" s="1" t="str">
        <v>+1</v>
      </c>
      <c r="O67" s="13" t="str">
        <v>+2</v>
      </c>
      <c r="P67" s="12" t="str">
        <v>+2</v>
      </c>
      <c r="Q67" s="1" t="str">
        <v>+1</v>
      </c>
      <c r="R67" s="1" t="str">
        <v>+2</v>
      </c>
      <c r="S67" s="13" t="str">
        <v>+1</v>
      </c>
    </row>
    <row r="68" spans="1:23" x14ac:dyDescent="0.25">
      <c r="A68" s="1" t="s">
        <v>4</v>
      </c>
      <c r="B68" s="1" t="str" cm="1">
        <f t="array" ref="B68:S68">_xlfn.TEXTSPLIT(TRIM(A68), {" ",",",", "})</f>
        <v>CSExtend_Err</v>
      </c>
      <c r="C68" s="10" t="str">
        <v>XXXXXX</v>
      </c>
      <c r="D68" s="12" t="str">
        <v>-2</v>
      </c>
      <c r="E68" s="1" t="str">
        <v>+2</v>
      </c>
      <c r="F68" s="1" t="str">
        <v>+2</v>
      </c>
      <c r="G68" s="13" t="str">
        <v>-2</v>
      </c>
      <c r="H68" s="12" t="str">
        <v>-1</v>
      </c>
      <c r="I68" s="1" t="str">
        <v>-1</v>
      </c>
      <c r="J68" s="1" t="str">
        <v>+2</v>
      </c>
      <c r="K68" s="13" t="str">
        <v>+2</v>
      </c>
      <c r="L68" s="12" t="str">
        <v>+2</v>
      </c>
      <c r="M68" s="1" t="str">
        <v>-1</v>
      </c>
      <c r="N68" s="1" t="str">
        <v>-1</v>
      </c>
      <c r="O68" s="13" t="str">
        <v>+2</v>
      </c>
      <c r="P68" s="12" t="str">
        <v>+2</v>
      </c>
      <c r="Q68" s="1" t="str">
        <v>-1</v>
      </c>
      <c r="R68" s="1" t="str">
        <v>+2</v>
      </c>
      <c r="S68" s="13" t="str">
        <v>-1</v>
      </c>
    </row>
    <row r="69" spans="1:23" x14ac:dyDescent="0.25">
      <c r="A69" s="1" t="s">
        <v>72</v>
      </c>
      <c r="B69" s="1" t="str" cm="1">
        <f t="array" ref="B69:S69">_xlfn.TEXTSPLIT(TRIM(A69), {" ",",",", "})</f>
        <v>CSExtend</v>
      </c>
      <c r="C69" s="10" t="str">
        <v>XXXXXX</v>
      </c>
      <c r="D69" s="12" t="str">
        <v>+2</v>
      </c>
      <c r="E69" s="1" t="str">
        <v>0</v>
      </c>
      <c r="F69" s="1" t="str">
        <v>0</v>
      </c>
      <c r="G69" s="13" t="str">
        <v>+2</v>
      </c>
      <c r="H69" s="12" t="str">
        <v>+2</v>
      </c>
      <c r="I69" s="1" t="str">
        <v>+2</v>
      </c>
      <c r="J69" s="1" t="str">
        <v>+1</v>
      </c>
      <c r="K69" s="13" t="str">
        <v>+1</v>
      </c>
      <c r="L69" s="12" t="str">
        <v>+1</v>
      </c>
      <c r="M69" s="1" t="str">
        <v>+2</v>
      </c>
      <c r="N69" s="1" t="str">
        <v>+2</v>
      </c>
      <c r="O69" s="13" t="str">
        <v>+1</v>
      </c>
      <c r="P69" s="12" t="str">
        <v>+1</v>
      </c>
      <c r="Q69" s="1" t="str">
        <v>+2</v>
      </c>
      <c r="R69" s="1" t="str">
        <v>+1</v>
      </c>
      <c r="S69" s="13" t="str">
        <v>+2</v>
      </c>
    </row>
    <row r="70" spans="1:23" x14ac:dyDescent="0.25">
      <c r="A70" s="1" t="s">
        <v>73</v>
      </c>
      <c r="B70" s="1" t="str" cm="1">
        <f t="array" ref="B70:S70">_xlfn.TEXTSPLIT(TRIM(A70), {" ",",",", "})</f>
        <v>CSReset</v>
      </c>
      <c r="C70" s="10" t="str">
        <v>XXXXXX</v>
      </c>
      <c r="D70" s="12" t="str">
        <v>+2</v>
      </c>
      <c r="E70" s="1" t="str">
        <v>-2</v>
      </c>
      <c r="F70" s="1" t="str">
        <v>-2</v>
      </c>
      <c r="G70" s="13" t="str">
        <v>+2</v>
      </c>
      <c r="H70" s="12" t="str">
        <v>+2</v>
      </c>
      <c r="I70" s="1" t="str">
        <v>+2</v>
      </c>
      <c r="J70" s="1" t="str">
        <v>-1</v>
      </c>
      <c r="K70" s="13" t="str">
        <v>-1</v>
      </c>
      <c r="L70" s="12" t="str">
        <v>-1</v>
      </c>
      <c r="M70" s="1" t="str">
        <v>+2</v>
      </c>
      <c r="N70" s="1" t="str">
        <v>+2</v>
      </c>
      <c r="O70" s="13" t="str">
        <v>-1</v>
      </c>
      <c r="P70" s="12" t="str">
        <v>-1</v>
      </c>
      <c r="Q70" s="1" t="str">
        <v>+2</v>
      </c>
      <c r="R70" s="1" t="str">
        <v>-1</v>
      </c>
      <c r="S70" s="13" t="str">
        <v>+2</v>
      </c>
    </row>
    <row r="71" spans="1:23" x14ac:dyDescent="0.25">
      <c r="A71" s="1" t="s">
        <v>74</v>
      </c>
      <c r="B71" s="1" t="str" cm="1">
        <f t="array" ref="B71:J71">_xlfn.TEXTSPLIT(TRIM(A71), {" ",",",", "})</f>
        <v>SSD1</v>
      </c>
      <c r="C71" s="10" t="str">
        <v>XXXXXX</v>
      </c>
      <c r="D71" s="12" t="str">
        <v>+2</v>
      </c>
      <c r="E71" s="1" t="str">
        <v>+2</v>
      </c>
      <c r="F71" s="1" t="str">
        <v>+2</v>
      </c>
      <c r="G71" s="13" t="str">
        <v>+2</v>
      </c>
      <c r="H71" s="12" t="str">
        <v>-</v>
      </c>
      <c r="I71" s="1" t="str">
        <v>-</v>
      </c>
      <c r="J71" s="1" t="str">
        <v>-</v>
      </c>
      <c r="K71" s="13"/>
      <c r="L71" s="12"/>
      <c r="M71" s="1"/>
      <c r="N71" s="1"/>
      <c r="O71" s="13"/>
      <c r="P71" s="12"/>
      <c r="Q71" s="1"/>
      <c r="R71" s="1"/>
      <c r="S71" s="13"/>
    </row>
    <row r="72" spans="1:23" x14ac:dyDescent="0.25">
      <c r="A72" s="1" t="s">
        <v>75</v>
      </c>
      <c r="B72" s="1" t="str" cm="1">
        <f t="array" ref="B72:J72">_xlfn.TEXTSPLIT(TRIM(A72), {" ",",",", "})</f>
        <v>SSD2</v>
      </c>
      <c r="C72" s="10" t="str">
        <v>XXXXXX</v>
      </c>
      <c r="D72" s="12" t="str">
        <v>+2</v>
      </c>
      <c r="E72" s="1" t="str">
        <v>+2</v>
      </c>
      <c r="F72" s="1" t="str">
        <v>+2</v>
      </c>
      <c r="G72" s="13" t="str">
        <v>-2</v>
      </c>
      <c r="H72" s="12" t="str">
        <v>-</v>
      </c>
      <c r="I72" s="1" t="str">
        <v>-</v>
      </c>
      <c r="J72" s="1" t="str">
        <v>-</v>
      </c>
      <c r="K72" s="13"/>
      <c r="L72" s="12"/>
      <c r="M72" s="1"/>
      <c r="N72" s="1"/>
      <c r="O72" s="13"/>
      <c r="P72" s="12"/>
      <c r="Q72" s="1"/>
      <c r="R72" s="1"/>
      <c r="S72" s="13"/>
    </row>
    <row r="73" spans="1:23" x14ac:dyDescent="0.25">
      <c r="A73" s="1" t="s">
        <v>76</v>
      </c>
      <c r="B73" s="1" t="str" cm="1">
        <f t="array" ref="B73:J73">_xlfn.TEXTSPLIT(TRIM(A73), {" ",",",", "})</f>
        <v>ESD1</v>
      </c>
      <c r="C73" s="10" t="str">
        <v>XXXXXX</v>
      </c>
      <c r="D73" s="12" t="str">
        <v>+2</v>
      </c>
      <c r="E73" s="1" t="str">
        <v>+2</v>
      </c>
      <c r="F73" s="1" t="str">
        <v>+2</v>
      </c>
      <c r="G73" s="13" t="str">
        <v>+2</v>
      </c>
      <c r="H73" s="12" t="str">
        <v>-</v>
      </c>
      <c r="I73" s="1" t="str">
        <v>-</v>
      </c>
      <c r="J73" s="1" t="str">
        <v>-</v>
      </c>
      <c r="K73" s="13"/>
      <c r="L73" s="12"/>
      <c r="M73" s="1"/>
      <c r="N73" s="1"/>
      <c r="O73" s="13"/>
      <c r="P73" s="12"/>
      <c r="Q73" s="1"/>
      <c r="R73" s="1"/>
      <c r="S73" s="13"/>
    </row>
    <row r="74" spans="1:23" x14ac:dyDescent="0.25">
      <c r="A74" s="1" t="s">
        <v>77</v>
      </c>
      <c r="B74" s="1" t="str" cm="1">
        <f t="array" ref="B74:J74">_xlfn.TEXTSPLIT(TRIM(A74), {" ",",",", "})</f>
        <v>ESD2_Ext_0</v>
      </c>
      <c r="C74" s="10" t="str">
        <v>XXXXXX</v>
      </c>
      <c r="D74" s="12" t="str">
        <v>+2</v>
      </c>
      <c r="E74" s="1" t="str">
        <v>+2</v>
      </c>
      <c r="F74" s="1" t="str">
        <v>+2</v>
      </c>
      <c r="G74" s="13" t="str">
        <v>-2</v>
      </c>
      <c r="H74" s="12" t="str">
        <v>-</v>
      </c>
      <c r="I74" s="1" t="str">
        <v>-</v>
      </c>
      <c r="J74" s="1" t="str">
        <v>-</v>
      </c>
      <c r="K74" s="13"/>
      <c r="L74" s="12"/>
      <c r="M74" s="1"/>
      <c r="N74" s="1"/>
      <c r="O74" s="13"/>
      <c r="P74" s="12"/>
      <c r="Q74" s="1"/>
      <c r="R74" s="1"/>
      <c r="S74" s="13"/>
    </row>
    <row r="75" spans="1:23" x14ac:dyDescent="0.25">
      <c r="A75" s="1" t="s">
        <v>78</v>
      </c>
      <c r="B75" s="1" t="str" cm="1">
        <f t="array" ref="B75:J75">_xlfn.TEXTSPLIT(TRIM(A75), {" ",",",", "})</f>
        <v>ESD2_Ext_1</v>
      </c>
      <c r="C75" s="10" t="str">
        <v>XXXXXX</v>
      </c>
      <c r="D75" s="12" t="str">
        <v>+2</v>
      </c>
      <c r="E75" s="1" t="str">
        <v>+2</v>
      </c>
      <c r="F75" s="1" t="str">
        <v>-2</v>
      </c>
      <c r="G75" s="13" t="str">
        <v>+2</v>
      </c>
      <c r="H75" s="12" t="str">
        <v>-</v>
      </c>
      <c r="I75" s="1" t="str">
        <v>-</v>
      </c>
      <c r="J75" s="1" t="str">
        <v>-</v>
      </c>
      <c r="K75" s="13"/>
      <c r="L75" s="12"/>
      <c r="M75" s="1"/>
      <c r="N75" s="1"/>
      <c r="O75" s="13"/>
      <c r="P75" s="12"/>
      <c r="Q75" s="1"/>
      <c r="R75" s="1"/>
      <c r="S75" s="13"/>
    </row>
    <row r="76" spans="1:23" x14ac:dyDescent="0.25">
      <c r="A76" s="1" t="s">
        <v>79</v>
      </c>
      <c r="B76" s="1" t="str" cm="1">
        <f t="array" ref="B76:J76">_xlfn.TEXTSPLIT(TRIM(A76), {" ",",",", "})</f>
        <v>ESD2_Ext_2</v>
      </c>
      <c r="C76" s="10" t="str">
        <v>XXXXXX</v>
      </c>
      <c r="D76" s="12" t="str">
        <v>+2</v>
      </c>
      <c r="E76" s="1" t="str">
        <v>-2</v>
      </c>
      <c r="F76" s="1" t="str">
        <v>+2</v>
      </c>
      <c r="G76" s="13" t="str">
        <v>+2</v>
      </c>
      <c r="H76" s="12" t="str">
        <v>-</v>
      </c>
      <c r="I76" s="1" t="str">
        <v>-</v>
      </c>
      <c r="J76" s="1" t="str">
        <v>-</v>
      </c>
      <c r="K76" s="13"/>
      <c r="L76" s="12"/>
      <c r="M76" s="1"/>
      <c r="N76" s="1"/>
      <c r="O76" s="13"/>
      <c r="P76" s="12"/>
      <c r="Q76" s="1"/>
      <c r="R76" s="1"/>
      <c r="S76" s="13"/>
    </row>
    <row r="77" spans="1:23" x14ac:dyDescent="0.25">
      <c r="A77" s="1" t="s">
        <v>80</v>
      </c>
      <c r="B77" s="1" t="str" cm="1">
        <f t="array" ref="B77:J77">_xlfn.TEXTSPLIT(TRIM(A77), {" ",",",", "})</f>
        <v>ESD_Ext_Err</v>
      </c>
      <c r="C77" s="10" t="str">
        <v>XXXXXX</v>
      </c>
      <c r="D77" s="12" t="str">
        <v>-2</v>
      </c>
      <c r="E77" s="1" t="str">
        <v>+2</v>
      </c>
      <c r="F77" s="1" t="str">
        <v>+2</v>
      </c>
      <c r="G77" s="13" t="str">
        <v>+2</v>
      </c>
      <c r="H77" s="12" t="str">
        <v>-</v>
      </c>
      <c r="I77" s="1" t="str">
        <v>-</v>
      </c>
      <c r="J77" s="1" t="str">
        <v>-</v>
      </c>
      <c r="K77" s="13"/>
      <c r="L77" s="12"/>
      <c r="M77" s="1"/>
      <c r="N77" s="1"/>
      <c r="O77" s="13"/>
      <c r="P77" s="12"/>
      <c r="Q77" s="1"/>
      <c r="R77" s="1"/>
      <c r="S77" s="13"/>
    </row>
    <row r="78" spans="1:23" x14ac:dyDescent="0.25">
      <c r="A78" s="1" t="s">
        <v>81</v>
      </c>
      <c r="B78" s="1" t="str" cm="1">
        <f t="array" ref="B78:J78">_xlfn.TEXTSPLIT(TRIM(A78), {" ",",",", "})</f>
        <v>Idle/CarrExt</v>
      </c>
      <c r="C78" s="10" t="str">
        <v>000000</v>
      </c>
      <c r="D78" s="12" t="str">
        <v>0</v>
      </c>
      <c r="E78" s="1" t="str">
        <v>0</v>
      </c>
      <c r="F78" s="1" t="str">
        <v>0</v>
      </c>
      <c r="G78" s="13" t="str">
        <v>0</v>
      </c>
      <c r="H78" s="12" t="str">
        <v>-</v>
      </c>
      <c r="I78" s="1" t="str">
        <v>-</v>
      </c>
      <c r="J78" s="1" t="str">
        <v>-</v>
      </c>
      <c r="K78" s="13"/>
      <c r="L78" s="12"/>
      <c r="M78" s="1"/>
      <c r="N78" s="1"/>
      <c r="O78" s="13"/>
      <c r="P78" s="12"/>
      <c r="Q78" s="1"/>
      <c r="R78" s="1"/>
      <c r="S78" s="13"/>
    </row>
    <row r="79" spans="1:23" x14ac:dyDescent="0.25">
      <c r="A79" s="1" t="s">
        <v>82</v>
      </c>
      <c r="B79" s="1" t="str" cm="1">
        <f t="array" ref="B79:J79">_xlfn.TEXTSPLIT(TRIM(A79), {" ",",",", "})</f>
        <v>Idle/CarrExt</v>
      </c>
      <c r="C79" s="10" t="str">
        <v>000001</v>
      </c>
      <c r="D79" s="12" t="str">
        <v>-2</v>
      </c>
      <c r="E79" s="1" t="str">
        <v>0</v>
      </c>
      <c r="F79" s="1" t="str">
        <v>0</v>
      </c>
      <c r="G79" s="13" t="str">
        <v>0</v>
      </c>
      <c r="H79" s="12" t="str">
        <v>-</v>
      </c>
      <c r="I79" s="1" t="str">
        <v>-</v>
      </c>
      <c r="J79" s="1" t="str">
        <v>-</v>
      </c>
      <c r="K79" s="13"/>
      <c r="L79" s="12"/>
      <c r="M79" s="1"/>
      <c r="N79" s="1"/>
      <c r="O79" s="13"/>
      <c r="P79" s="12"/>
      <c r="Q79" s="1"/>
      <c r="R79" s="1"/>
      <c r="S79" s="13"/>
    </row>
    <row r="80" spans="1:23" x14ac:dyDescent="0.25">
      <c r="A80" s="1" t="s">
        <v>83</v>
      </c>
      <c r="B80" s="1" t="str" cm="1">
        <f t="array" ref="B80:J80">_xlfn.TEXTSPLIT(TRIM(A80), {" ",",",", "})</f>
        <v>Idle/CarrExt</v>
      </c>
      <c r="C80" s="10" t="str">
        <v>000010</v>
      </c>
      <c r="D80" s="12" t="str">
        <v>0</v>
      </c>
      <c r="E80" s="1" t="str">
        <v>-2</v>
      </c>
      <c r="F80" s="1" t="str">
        <v>0</v>
      </c>
      <c r="G80" s="13" t="str">
        <v>0</v>
      </c>
      <c r="H80" s="12" t="str">
        <v>-</v>
      </c>
      <c r="I80" s="1" t="str">
        <v>-</v>
      </c>
      <c r="J80" s="1" t="str">
        <v>-</v>
      </c>
      <c r="K80" s="13"/>
      <c r="L80" s="12"/>
      <c r="M80" s="1"/>
      <c r="N80" s="1"/>
      <c r="O80" s="13"/>
      <c r="P80" s="12"/>
      <c r="Q80" s="1"/>
      <c r="R80" s="1"/>
      <c r="S80" s="13"/>
    </row>
    <row r="81" spans="1:19" x14ac:dyDescent="0.25">
      <c r="A81" s="1" t="s">
        <v>84</v>
      </c>
      <c r="B81" s="1" t="str" cm="1">
        <f t="array" ref="B81:J81">_xlfn.TEXTSPLIT(TRIM(A81), {" ",",",", "})</f>
        <v>Idle/CarrExt</v>
      </c>
      <c r="C81" s="10" t="str">
        <v>000011</v>
      </c>
      <c r="D81" s="12" t="str">
        <v>-2</v>
      </c>
      <c r="E81" s="1" t="str">
        <v>-2</v>
      </c>
      <c r="F81" s="1" t="str">
        <v>0</v>
      </c>
      <c r="G81" s="13" t="str">
        <v>0</v>
      </c>
      <c r="H81" s="12" t="str">
        <v>-</v>
      </c>
      <c r="I81" s="1" t="str">
        <v>-</v>
      </c>
      <c r="J81" s="1" t="str">
        <v>-</v>
      </c>
      <c r="K81" s="13"/>
      <c r="L81" s="12"/>
      <c r="M81" s="1"/>
      <c r="N81" s="1"/>
      <c r="O81" s="13"/>
      <c r="P81" s="12"/>
      <c r="Q81" s="1"/>
      <c r="R81" s="1"/>
      <c r="S81" s="13"/>
    </row>
    <row r="82" spans="1:19" x14ac:dyDescent="0.25">
      <c r="A82" s="1" t="s">
        <v>85</v>
      </c>
      <c r="B82" s="1" t="str" cm="1">
        <f t="array" ref="B82:J82">_xlfn.TEXTSPLIT(TRIM(A82), {" ",",",", "})</f>
        <v>Idle/CarrExt</v>
      </c>
      <c r="C82" s="10" t="str">
        <v>000100</v>
      </c>
      <c r="D82" s="12" t="str">
        <v>0</v>
      </c>
      <c r="E82" s="1" t="str">
        <v>0</v>
      </c>
      <c r="F82" s="1" t="str">
        <v>-2</v>
      </c>
      <c r="G82" s="13" t="str">
        <v>0</v>
      </c>
      <c r="H82" s="12" t="str">
        <v>-</v>
      </c>
      <c r="I82" s="1" t="str">
        <v>-</v>
      </c>
      <c r="J82" s="1" t="str">
        <v>-</v>
      </c>
      <c r="K82" s="13"/>
      <c r="L82" s="12"/>
      <c r="M82" s="1"/>
      <c r="N82" s="1"/>
      <c r="O82" s="13"/>
      <c r="P82" s="12"/>
      <c r="Q82" s="1"/>
      <c r="R82" s="1"/>
      <c r="S82" s="13"/>
    </row>
    <row r="83" spans="1:19" x14ac:dyDescent="0.25">
      <c r="A83" s="1" t="s">
        <v>86</v>
      </c>
      <c r="B83" s="1" t="str" cm="1">
        <f t="array" ref="B83:J83">_xlfn.TEXTSPLIT(TRIM(A83), {" ",",",", "})</f>
        <v>Idle/CarrExt</v>
      </c>
      <c r="C83" s="10" t="str">
        <v>000101</v>
      </c>
      <c r="D83" s="12" t="str">
        <v>-2</v>
      </c>
      <c r="E83" s="1" t="str">
        <v>0</v>
      </c>
      <c r="F83" s="1" t="str">
        <v>-2</v>
      </c>
      <c r="G83" s="13" t="str">
        <v>0</v>
      </c>
      <c r="H83" s="12" t="str">
        <v>-</v>
      </c>
      <c r="I83" s="1" t="str">
        <v>-</v>
      </c>
      <c r="J83" s="1" t="str">
        <v>-</v>
      </c>
      <c r="K83" s="13"/>
      <c r="L83" s="12"/>
      <c r="M83" s="1"/>
      <c r="N83" s="1"/>
      <c r="O83" s="13"/>
      <c r="P83" s="12"/>
      <c r="Q83" s="1"/>
      <c r="R83" s="1"/>
      <c r="S83" s="13"/>
    </row>
    <row r="84" spans="1:19" x14ac:dyDescent="0.25">
      <c r="A84" s="1" t="s">
        <v>87</v>
      </c>
      <c r="B84" s="1" t="str" cm="1">
        <f t="array" ref="B84:J84">_xlfn.TEXTSPLIT(TRIM(A84), {" ",",",", "})</f>
        <v>Idle/CarrExt</v>
      </c>
      <c r="C84" s="10" t="str">
        <v>000110</v>
      </c>
      <c r="D84" s="12" t="str">
        <v>0</v>
      </c>
      <c r="E84" s="1" t="str">
        <v>-2</v>
      </c>
      <c r="F84" s="1" t="str">
        <v>-2</v>
      </c>
      <c r="G84" s="13" t="str">
        <v>0</v>
      </c>
      <c r="H84" s="12" t="str">
        <v>-</v>
      </c>
      <c r="I84" s="1" t="str">
        <v>-</v>
      </c>
      <c r="J84" s="1" t="str">
        <v>-</v>
      </c>
      <c r="K84" s="13"/>
      <c r="L84" s="12"/>
      <c r="M84" s="1"/>
      <c r="N84" s="1"/>
      <c r="O84" s="13"/>
      <c r="P84" s="12"/>
      <c r="Q84" s="1"/>
      <c r="R84" s="1"/>
      <c r="S84" s="13"/>
    </row>
    <row r="85" spans="1:19" x14ac:dyDescent="0.25">
      <c r="A85" s="1" t="s">
        <v>88</v>
      </c>
      <c r="B85" s="1" t="str" cm="1">
        <f t="array" ref="B85:J85">_xlfn.TEXTSPLIT(TRIM(A85), {" ",",",", "})</f>
        <v>Idle/CarrExt</v>
      </c>
      <c r="C85" s="10" t="str">
        <v>000111</v>
      </c>
      <c r="D85" s="12" t="str">
        <v>-2</v>
      </c>
      <c r="E85" s="1" t="str">
        <v>-2</v>
      </c>
      <c r="F85" s="1" t="str">
        <v>-2</v>
      </c>
      <c r="G85" s="13" t="str">
        <v>0</v>
      </c>
      <c r="H85" s="12" t="str">
        <v>-</v>
      </c>
      <c r="I85" s="1" t="str">
        <v>-</v>
      </c>
      <c r="J85" s="1" t="str">
        <v>-</v>
      </c>
      <c r="K85" s="13"/>
      <c r="L85" s="12"/>
      <c r="M85" s="1"/>
      <c r="N85" s="1"/>
      <c r="O85" s="13"/>
      <c r="P85" s="12"/>
      <c r="Q85" s="1"/>
      <c r="R85" s="1"/>
      <c r="S85" s="13"/>
    </row>
    <row r="86" spans="1:19" x14ac:dyDescent="0.25">
      <c r="A86" s="1" t="s">
        <v>89</v>
      </c>
      <c r="B86" s="1" t="str" cm="1">
        <f t="array" ref="B86:J86">_xlfn.TEXTSPLIT(TRIM(A86), {" ",",",", "})</f>
        <v>Idle/CarrExt</v>
      </c>
      <c r="C86" s="10" t="str">
        <v>001000</v>
      </c>
      <c r="D86" s="12" t="str">
        <v>0</v>
      </c>
      <c r="E86" s="1" t="str">
        <v>0</v>
      </c>
      <c r="F86" s="1" t="str">
        <v>0</v>
      </c>
      <c r="G86" s="13" t="str">
        <v>-2</v>
      </c>
      <c r="H86" s="12" t="str">
        <v>-</v>
      </c>
      <c r="I86" s="1" t="str">
        <v>-</v>
      </c>
      <c r="J86" s="1" t="str">
        <v>-</v>
      </c>
      <c r="K86" s="13"/>
      <c r="L86" s="12"/>
      <c r="M86" s="1"/>
      <c r="N86" s="1"/>
      <c r="O86" s="13"/>
      <c r="P86" s="12"/>
      <c r="Q86" s="1"/>
      <c r="R86" s="1"/>
      <c r="S86" s="13"/>
    </row>
    <row r="87" spans="1:19" x14ac:dyDescent="0.25">
      <c r="A87" s="1" t="s">
        <v>90</v>
      </c>
      <c r="B87" s="1" t="str" cm="1">
        <f t="array" ref="B87:J87">_xlfn.TEXTSPLIT(TRIM(A87), {" ",",",", "})</f>
        <v>Idle/CarrExt</v>
      </c>
      <c r="C87" s="10" t="str">
        <v>001001</v>
      </c>
      <c r="D87" s="12" t="str">
        <v>-2</v>
      </c>
      <c r="E87" s="1" t="str">
        <v>0</v>
      </c>
      <c r="F87" s="1" t="str">
        <v>0</v>
      </c>
      <c r="G87" s="13" t="str">
        <v>-2</v>
      </c>
      <c r="H87" s="12" t="str">
        <v>-</v>
      </c>
      <c r="I87" s="1" t="str">
        <v>-</v>
      </c>
      <c r="J87" s="1" t="str">
        <v>-</v>
      </c>
      <c r="K87" s="13"/>
      <c r="L87" s="12"/>
      <c r="M87" s="1"/>
      <c r="N87" s="1"/>
      <c r="O87" s="13"/>
      <c r="P87" s="12"/>
      <c r="Q87" s="1"/>
      <c r="R87" s="1"/>
      <c r="S87" s="13"/>
    </row>
    <row r="88" spans="1:19" x14ac:dyDescent="0.25">
      <c r="A88" s="1" t="s">
        <v>91</v>
      </c>
      <c r="B88" s="1" t="str" cm="1">
        <f t="array" ref="B88:J88">_xlfn.TEXTSPLIT(TRIM(A88), {" ",",",", "})</f>
        <v>Idle/CarrExt</v>
      </c>
      <c r="C88" s="10" t="str">
        <v>001010</v>
      </c>
      <c r="D88" s="12" t="str">
        <v>0</v>
      </c>
      <c r="E88" s="1" t="str">
        <v>-2</v>
      </c>
      <c r="F88" s="1" t="str">
        <v>0</v>
      </c>
      <c r="G88" s="13" t="str">
        <v>-2</v>
      </c>
      <c r="H88" s="12" t="str">
        <v>-</v>
      </c>
      <c r="I88" s="1" t="str">
        <v>-</v>
      </c>
      <c r="J88" s="1" t="str">
        <v>-</v>
      </c>
      <c r="K88" s="13"/>
      <c r="L88" s="12"/>
      <c r="M88" s="1"/>
      <c r="N88" s="1"/>
      <c r="O88" s="13"/>
      <c r="P88" s="12"/>
      <c r="Q88" s="1"/>
      <c r="R88" s="1"/>
      <c r="S88" s="13"/>
    </row>
    <row r="89" spans="1:19" x14ac:dyDescent="0.25">
      <c r="A89" s="1" t="s">
        <v>92</v>
      </c>
      <c r="B89" s="1" t="str" cm="1">
        <f t="array" ref="B89:J89">_xlfn.TEXTSPLIT(TRIM(A89), {" ",",",", "})</f>
        <v>Idle/CarrExt</v>
      </c>
      <c r="C89" s="10" t="str">
        <v>001011</v>
      </c>
      <c r="D89" s="12" t="str">
        <v>-2</v>
      </c>
      <c r="E89" s="1" t="str">
        <v>-2</v>
      </c>
      <c r="F89" s="1" t="str">
        <v>0</v>
      </c>
      <c r="G89" s="13" t="str">
        <v>-2</v>
      </c>
      <c r="H89" s="12" t="str">
        <v>-</v>
      </c>
      <c r="I89" s="1" t="str">
        <v>-</v>
      </c>
      <c r="J89" s="1" t="str">
        <v>-</v>
      </c>
      <c r="K89" s="13"/>
      <c r="L89" s="12"/>
      <c r="M89" s="1"/>
      <c r="N89" s="1"/>
      <c r="O89" s="13"/>
      <c r="P89" s="12"/>
      <c r="Q89" s="1"/>
      <c r="R89" s="1"/>
      <c r="S89" s="13"/>
    </row>
    <row r="90" spans="1:19" x14ac:dyDescent="0.25">
      <c r="A90" s="1" t="s">
        <v>93</v>
      </c>
      <c r="B90" s="1" t="str" cm="1">
        <f t="array" ref="B90:J90">_xlfn.TEXTSPLIT(TRIM(A90), {" ",",",", "})</f>
        <v>Idle/CarrExt</v>
      </c>
      <c r="C90" s="10" t="str">
        <v>001100</v>
      </c>
      <c r="D90" s="12" t="str">
        <v>0</v>
      </c>
      <c r="E90" s="1" t="str">
        <v>0</v>
      </c>
      <c r="F90" s="1" t="str">
        <v>-2</v>
      </c>
      <c r="G90" s="13" t="str">
        <v>-2</v>
      </c>
      <c r="H90" s="12" t="str">
        <v>-</v>
      </c>
      <c r="I90" s="1" t="str">
        <v>-</v>
      </c>
      <c r="J90" s="1" t="str">
        <v>-</v>
      </c>
      <c r="K90" s="13"/>
      <c r="L90" s="12"/>
      <c r="M90" s="1"/>
      <c r="N90" s="1"/>
      <c r="O90" s="13"/>
      <c r="P90" s="12"/>
      <c r="Q90" s="1"/>
      <c r="R90" s="1"/>
      <c r="S90" s="13"/>
    </row>
    <row r="91" spans="1:19" x14ac:dyDescent="0.25">
      <c r="A91" s="1" t="s">
        <v>94</v>
      </c>
      <c r="B91" s="1" t="str" cm="1">
        <f t="array" ref="B91:J91">_xlfn.TEXTSPLIT(TRIM(A91), {" ",",",", "})</f>
        <v>Idle/CarrExt</v>
      </c>
      <c r="C91" s="10" t="str">
        <v>001101</v>
      </c>
      <c r="D91" s="12" t="str">
        <v>-2</v>
      </c>
      <c r="E91" s="1" t="str">
        <v>0</v>
      </c>
      <c r="F91" s="1" t="str">
        <v>-2</v>
      </c>
      <c r="G91" s="13" t="str">
        <v>-2</v>
      </c>
      <c r="H91" s="12" t="str">
        <v>-</v>
      </c>
      <c r="I91" s="1" t="str">
        <v>-</v>
      </c>
      <c r="J91" s="1" t="str">
        <v>-</v>
      </c>
      <c r="K91" s="13"/>
      <c r="L91" s="12"/>
      <c r="M91" s="1"/>
      <c r="N91" s="1"/>
      <c r="O91" s="13"/>
      <c r="P91" s="12"/>
      <c r="Q91" s="1"/>
      <c r="R91" s="1"/>
      <c r="S91" s="13"/>
    </row>
    <row r="92" spans="1:19" x14ac:dyDescent="0.25">
      <c r="A92" s="1" t="s">
        <v>95</v>
      </c>
      <c r="B92" s="1" t="str" cm="1">
        <f t="array" ref="B92:J92">_xlfn.TEXTSPLIT(TRIM(A92), {" ",",",", "})</f>
        <v>Idle/CarrExt</v>
      </c>
      <c r="C92" s="10" t="str">
        <v>001110</v>
      </c>
      <c r="D92" s="12" t="str">
        <v>0</v>
      </c>
      <c r="E92" s="1" t="str">
        <v>-2</v>
      </c>
      <c r="F92" s="1" t="str">
        <v>-2</v>
      </c>
      <c r="G92" s="13" t="str">
        <v>-2</v>
      </c>
      <c r="H92" s="12" t="str">
        <v>-</v>
      </c>
      <c r="I92" s="1" t="str">
        <v>-</v>
      </c>
      <c r="J92" s="1" t="str">
        <v>-</v>
      </c>
      <c r="K92" s="13"/>
      <c r="L92" s="12"/>
      <c r="M92" s="1"/>
      <c r="N92" s="1"/>
      <c r="O92" s="13"/>
      <c r="P92" s="12"/>
      <c r="Q92" s="1"/>
      <c r="R92" s="1"/>
      <c r="S92" s="13"/>
    </row>
    <row r="93" spans="1:19" ht="15.75" thickBot="1" x14ac:dyDescent="0.3">
      <c r="A93" s="1" t="s">
        <v>96</v>
      </c>
      <c r="B93" s="1" t="str" cm="1">
        <f t="array" ref="B93:J93">_xlfn.TEXTSPLIT(TRIM(A93), {" ",",",", "})</f>
        <v>Idle/CarrExt</v>
      </c>
      <c r="C93" s="10" t="str">
        <v>001111</v>
      </c>
      <c r="D93" s="14" t="str">
        <v>-2</v>
      </c>
      <c r="E93" s="15" t="str">
        <v>-2</v>
      </c>
      <c r="F93" s="15" t="str">
        <v>-2</v>
      </c>
      <c r="G93" s="16" t="str">
        <v>-2</v>
      </c>
      <c r="H93" s="14" t="str">
        <v>-</v>
      </c>
      <c r="I93" s="15" t="str">
        <v>-</v>
      </c>
      <c r="J93" s="15" t="str">
        <v>-</v>
      </c>
      <c r="K93" s="16"/>
      <c r="L93" s="14"/>
      <c r="M93" s="15"/>
      <c r="N93" s="15"/>
      <c r="O93" s="16"/>
      <c r="P93" s="14"/>
      <c r="Q93" s="15"/>
      <c r="R93" s="15"/>
      <c r="S93" s="16"/>
    </row>
  </sheetData>
  <mergeCells count="5">
    <mergeCell ref="D1:S1"/>
    <mergeCell ref="D2:G2"/>
    <mergeCell ref="H2:K2"/>
    <mergeCell ref="L2:O2"/>
    <mergeCell ref="P2:S2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1DCC-B182-4C4E-BEE1-1C0860762B1C}">
  <dimension ref="A1:Y93"/>
  <sheetViews>
    <sheetView topLeftCell="X1" zoomScale="85" zoomScaleNormal="85" workbookViewId="0">
      <selection activeCell="X3" sqref="X3"/>
    </sheetView>
  </sheetViews>
  <sheetFormatPr defaultRowHeight="15" x14ac:dyDescent="0.25"/>
  <cols>
    <col min="1" max="1" width="73.140625" bestFit="1" customWidth="1"/>
    <col min="2" max="2" width="14.42578125" bestFit="1" customWidth="1"/>
    <col min="3" max="3" width="11.5703125" bestFit="1" customWidth="1"/>
    <col min="4" max="19" width="3.85546875" bestFit="1" customWidth="1"/>
    <col min="20" max="20" width="80.5703125" bestFit="1" customWidth="1"/>
    <col min="21" max="22" width="80" bestFit="1" customWidth="1"/>
    <col min="23" max="23" width="79.140625" bestFit="1" customWidth="1"/>
    <col min="24" max="24" width="255.7109375" bestFit="1" customWidth="1"/>
    <col min="25" max="25" width="27.42578125" style="25" bestFit="1" customWidth="1"/>
  </cols>
  <sheetData>
    <row r="1" spans="1:24" ht="15.75" thickBot="1" x14ac:dyDescent="0.3">
      <c r="A1" s="4"/>
      <c r="B1" s="4"/>
      <c r="C1" s="4"/>
      <c r="D1" s="18" t="s">
        <v>6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spans="1:24" x14ac:dyDescent="0.25">
      <c r="A2" s="3" t="s">
        <v>100</v>
      </c>
      <c r="B2" s="3" t="s">
        <v>97</v>
      </c>
      <c r="C2" s="17" t="s">
        <v>98</v>
      </c>
      <c r="D2" s="19" t="s">
        <v>0</v>
      </c>
      <c r="E2" s="20"/>
      <c r="F2" s="20"/>
      <c r="G2" s="21"/>
      <c r="H2" s="19" t="s">
        <v>1</v>
      </c>
      <c r="I2" s="20"/>
      <c r="J2" s="20"/>
      <c r="K2" s="21"/>
      <c r="L2" s="19" t="s">
        <v>3</v>
      </c>
      <c r="M2" s="20"/>
      <c r="N2" s="20"/>
      <c r="O2" s="21"/>
      <c r="P2" s="19" t="s">
        <v>2</v>
      </c>
      <c r="Q2" s="20"/>
      <c r="R2" s="20"/>
      <c r="S2" s="21"/>
    </row>
    <row r="3" spans="1:24" x14ac:dyDescent="0.25">
      <c r="A3" s="2" t="s">
        <v>7</v>
      </c>
      <c r="B3" s="2" t="s">
        <v>206</v>
      </c>
      <c r="C3" s="9" t="s">
        <v>174</v>
      </c>
      <c r="D3" s="22" t="s">
        <v>204</v>
      </c>
      <c r="E3" s="2" t="s">
        <v>204</v>
      </c>
      <c r="F3" s="2" t="s">
        <v>204</v>
      </c>
      <c r="G3" s="23" t="s">
        <v>204</v>
      </c>
      <c r="H3" s="22" t="s">
        <v>204</v>
      </c>
      <c r="I3" s="2" t="s">
        <v>204</v>
      </c>
      <c r="J3" s="2" t="s">
        <v>207</v>
      </c>
      <c r="K3" s="23" t="s">
        <v>207</v>
      </c>
      <c r="L3" s="22" t="s">
        <v>204</v>
      </c>
      <c r="M3" s="2" t="s">
        <v>207</v>
      </c>
      <c r="N3" s="2" t="s">
        <v>207</v>
      </c>
      <c r="O3" s="23" t="s">
        <v>204</v>
      </c>
      <c r="P3" s="22" t="s">
        <v>204</v>
      </c>
      <c r="Q3" s="2" t="s">
        <v>207</v>
      </c>
      <c r="R3" s="2" t="s">
        <v>204</v>
      </c>
      <c r="S3" s="23" t="s">
        <v>207</v>
      </c>
      <c r="T3" s="24" t="s">
        <v>205</v>
      </c>
      <c r="U3" s="24" t="s">
        <v>299</v>
      </c>
      <c r="V3" s="24" t="s">
        <v>300</v>
      </c>
      <c r="W3" s="24" t="s">
        <v>301</v>
      </c>
      <c r="X3" t="str">
        <f>"// Row: Sd_n[5:0] = " &amp; $C3 &amp; CHAR(10) &amp;
REPT(CHAR(9),4) &amp; SUBSTITUTE(T3,"3'sd-","-3'sd") &amp; CHAR(10) &amp;
REPT(CHAR(9),4) &amp; SUBSTITUTE(U3,"3'sd-","-3'sd") &amp; CHAR(10) &amp;
REPT(CHAR(9),4) &amp; SUBSTITUTE(V3,"3'sd-","-3'sd") &amp; CHAR(10) &amp;
REPT(CHAR(9),4) &amp; SUBSTITUTE(W3,"3'sd-","-3'sd") &amp; CHAR(10)</f>
        <v xml:space="preserve">// Row: Sd_n[5:0] = 000000
				{3'sd0,  3'sd0,  3'sd0,  3'sd0} : sdn_recovered = {3'b000, 6'b000000}; // Col [000]
				{3'sd0,  3'sd0,  3'sd1,  3'sd1} : sdn_recovered = {3'b010, 6'b000000}; // Col [010]
				{3'sd0,  3'sd1,  3'sd1,  3'sd0} : sdn_recovered = {3'b100, 6'b000000}; // Col [100]
				{3'sd0,  3'sd1,  3'sd0,  3'sd1} : sdn_recovered = {3'b110, 6'b000000}; // Col [110]
</v>
      </c>
    </row>
    <row r="4" spans="1:24" x14ac:dyDescent="0.25">
      <c r="A4" s="1" t="s">
        <v>8</v>
      </c>
      <c r="B4" s="1" t="s">
        <v>206</v>
      </c>
      <c r="C4" s="10" t="s">
        <v>175</v>
      </c>
      <c r="D4" s="12" t="s">
        <v>208</v>
      </c>
      <c r="E4" s="1" t="s">
        <v>204</v>
      </c>
      <c r="F4" s="1" t="s">
        <v>204</v>
      </c>
      <c r="G4" s="13" t="s">
        <v>204</v>
      </c>
      <c r="H4" s="12" t="s">
        <v>208</v>
      </c>
      <c r="I4" s="1" t="s">
        <v>204</v>
      </c>
      <c r="J4" s="1" t="s">
        <v>207</v>
      </c>
      <c r="K4" s="13" t="s">
        <v>207</v>
      </c>
      <c r="L4" s="12" t="s">
        <v>208</v>
      </c>
      <c r="M4" s="1" t="s">
        <v>207</v>
      </c>
      <c r="N4" s="1" t="s">
        <v>207</v>
      </c>
      <c r="O4" s="13" t="s">
        <v>204</v>
      </c>
      <c r="P4" s="12" t="s">
        <v>208</v>
      </c>
      <c r="Q4" s="1" t="s">
        <v>207</v>
      </c>
      <c r="R4" s="1" t="s">
        <v>204</v>
      </c>
      <c r="S4" s="13" t="s">
        <v>207</v>
      </c>
      <c r="T4" s="24" t="s">
        <v>209</v>
      </c>
      <c r="U4" s="24" t="s">
        <v>302</v>
      </c>
      <c r="V4" s="24" t="s">
        <v>303</v>
      </c>
      <c r="W4" s="24" t="s">
        <v>304</v>
      </c>
      <c r="X4" t="str">
        <f t="shared" ref="X4:X66" si="0">"// Row: Sd_n[5:0] = " &amp; $C4 &amp; CHAR(10) &amp;
REPT(CHAR(9),4) &amp; SUBSTITUTE(T4,"3'sd-","-3'sd") &amp; CHAR(10) &amp;
REPT(CHAR(9),4) &amp; SUBSTITUTE(U4,"3'sd-","-3'sd") &amp; CHAR(10) &amp;
REPT(CHAR(9),4) &amp; SUBSTITUTE(V4,"3'sd-","-3'sd") &amp; CHAR(10) &amp;
REPT(CHAR(9),4) &amp; SUBSTITUTE(W4,"3'sd-","-3'sd") &amp; CHAR(10)</f>
        <v xml:space="preserve">// Row: Sd_n[5:0] = 000001
				{-3'sd2,  3'sd0,  3'sd0,  3'sd0} : sdn_recovered = {3'b000, 6'b000001}; // Col [000]
				{-3'sd2,  3'sd0,  3'sd1,  3'sd1} : sdn_recovered = {3'b010, 6'b000001}; // Col [010]
				{-3'sd2,  3'sd1,  3'sd1,  3'sd0} : sdn_recovered = {3'b100, 6'b000001}; // Col [100]
				{-3'sd2,  3'sd1,  3'sd0,  3'sd1} : sdn_recovered = {3'b110, 6'b000001}; // Col [110]
</v>
      </c>
    </row>
    <row r="5" spans="1:24" x14ac:dyDescent="0.25">
      <c r="A5" s="1" t="s">
        <v>9</v>
      </c>
      <c r="B5" s="1" t="s">
        <v>206</v>
      </c>
      <c r="C5" s="10" t="s">
        <v>176</v>
      </c>
      <c r="D5" s="12" t="s">
        <v>204</v>
      </c>
      <c r="E5" s="1" t="s">
        <v>208</v>
      </c>
      <c r="F5" s="1" t="s">
        <v>204</v>
      </c>
      <c r="G5" s="13" t="s">
        <v>204</v>
      </c>
      <c r="H5" s="12" t="s">
        <v>204</v>
      </c>
      <c r="I5" s="1" t="s">
        <v>208</v>
      </c>
      <c r="J5" s="1" t="s">
        <v>207</v>
      </c>
      <c r="K5" s="13" t="s">
        <v>207</v>
      </c>
      <c r="L5" s="12" t="s">
        <v>204</v>
      </c>
      <c r="M5" s="1" t="s">
        <v>210</v>
      </c>
      <c r="N5" s="1" t="s">
        <v>207</v>
      </c>
      <c r="O5" s="13" t="s">
        <v>204</v>
      </c>
      <c r="P5" s="12" t="s">
        <v>204</v>
      </c>
      <c r="Q5" s="1" t="s">
        <v>210</v>
      </c>
      <c r="R5" s="1" t="s">
        <v>204</v>
      </c>
      <c r="S5" s="13" t="s">
        <v>207</v>
      </c>
      <c r="T5" s="24" t="s">
        <v>211</v>
      </c>
      <c r="U5" s="24" t="s">
        <v>305</v>
      </c>
      <c r="V5" s="24" t="s">
        <v>306</v>
      </c>
      <c r="W5" s="24" t="s">
        <v>307</v>
      </c>
      <c r="X5" t="str">
        <f t="shared" si="0"/>
        <v xml:space="preserve">// Row: Sd_n[5:0] = 000010
				{3'sd0,  -3'sd2,  3'sd0,  3'sd0} : sdn_recovered = {3'b000, 6'b000010}; // Col [000]
				{3'sd0,  -3'sd2,  3'sd1,  3'sd1} : sdn_recovered = {3'b010, 6'b000010}; // Col [010]
				{3'sd0,  -3'sd1,  3'sd1,  3'sd0} : sdn_recovered = {3'b100, 6'b000010}; // Col [100]
				{3'sd0,  -3'sd1,  3'sd0,  3'sd1} : sdn_recovered = {3'b110, 6'b000010}; // Col [110]
</v>
      </c>
    </row>
    <row r="6" spans="1:24" x14ac:dyDescent="0.25">
      <c r="A6" s="1" t="s">
        <v>10</v>
      </c>
      <c r="B6" s="1" t="s">
        <v>206</v>
      </c>
      <c r="C6" s="10" t="s">
        <v>177</v>
      </c>
      <c r="D6" s="12" t="s">
        <v>208</v>
      </c>
      <c r="E6" s="1" t="s">
        <v>208</v>
      </c>
      <c r="F6" s="1" t="s">
        <v>204</v>
      </c>
      <c r="G6" s="13" t="s">
        <v>204</v>
      </c>
      <c r="H6" s="12" t="s">
        <v>208</v>
      </c>
      <c r="I6" s="1" t="s">
        <v>208</v>
      </c>
      <c r="J6" s="1" t="s">
        <v>207</v>
      </c>
      <c r="K6" s="13" t="s">
        <v>207</v>
      </c>
      <c r="L6" s="12" t="s">
        <v>208</v>
      </c>
      <c r="M6" s="1" t="s">
        <v>210</v>
      </c>
      <c r="N6" s="1" t="s">
        <v>207</v>
      </c>
      <c r="O6" s="13" t="s">
        <v>204</v>
      </c>
      <c r="P6" s="12" t="s">
        <v>208</v>
      </c>
      <c r="Q6" s="1" t="s">
        <v>210</v>
      </c>
      <c r="R6" s="1" t="s">
        <v>204</v>
      </c>
      <c r="S6" s="13" t="s">
        <v>207</v>
      </c>
      <c r="T6" s="24" t="s">
        <v>212</v>
      </c>
      <c r="U6" s="24" t="s">
        <v>308</v>
      </c>
      <c r="V6" s="24" t="s">
        <v>309</v>
      </c>
      <c r="W6" s="24" t="s">
        <v>310</v>
      </c>
      <c r="X6" t="str">
        <f t="shared" si="0"/>
        <v xml:space="preserve">// Row: Sd_n[5:0] = 000011
				{-3'sd2,  -3'sd2,  3'sd0,  3'sd0} : sdn_recovered = {3'b000, 6'b000011}; // Col [000]
				{-3'sd2,  -3'sd2,  3'sd1,  3'sd1} : sdn_recovered = {3'b010, 6'b000011}; // Col [010]
				{-3'sd2,  -3'sd1,  3'sd1,  3'sd0} : sdn_recovered = {3'b100, 6'b000011}; // Col [100]
				{-3'sd2,  -3'sd1,  3'sd0,  3'sd1} : sdn_recovered = {3'b110, 6'b000011}; // Col [110]
</v>
      </c>
    </row>
    <row r="7" spans="1:24" x14ac:dyDescent="0.25">
      <c r="A7" s="1" t="s">
        <v>11</v>
      </c>
      <c r="B7" s="1" t="s">
        <v>206</v>
      </c>
      <c r="C7" s="10" t="s">
        <v>178</v>
      </c>
      <c r="D7" s="12" t="s">
        <v>204</v>
      </c>
      <c r="E7" s="1" t="s">
        <v>204</v>
      </c>
      <c r="F7" s="1" t="s">
        <v>208</v>
      </c>
      <c r="G7" s="13" t="s">
        <v>204</v>
      </c>
      <c r="H7" s="12" t="s">
        <v>204</v>
      </c>
      <c r="I7" s="1" t="s">
        <v>204</v>
      </c>
      <c r="J7" s="1" t="s">
        <v>210</v>
      </c>
      <c r="K7" s="13" t="s">
        <v>207</v>
      </c>
      <c r="L7" s="12" t="s">
        <v>204</v>
      </c>
      <c r="M7" s="1" t="s">
        <v>207</v>
      </c>
      <c r="N7" s="1" t="s">
        <v>210</v>
      </c>
      <c r="O7" s="13" t="s">
        <v>204</v>
      </c>
      <c r="P7" s="12" t="s">
        <v>204</v>
      </c>
      <c r="Q7" s="1" t="s">
        <v>207</v>
      </c>
      <c r="R7" s="1" t="s">
        <v>208</v>
      </c>
      <c r="S7" s="13" t="s">
        <v>207</v>
      </c>
      <c r="T7" s="24" t="s">
        <v>213</v>
      </c>
      <c r="U7" s="24" t="s">
        <v>311</v>
      </c>
      <c r="V7" s="24" t="s">
        <v>312</v>
      </c>
      <c r="W7" s="24" t="s">
        <v>313</v>
      </c>
      <c r="X7" t="str">
        <f t="shared" si="0"/>
        <v xml:space="preserve">// Row: Sd_n[5:0] = 000100
				{3'sd0,  3'sd0,  -3'sd2,  3'sd0} : sdn_recovered = {3'b000, 6'b000100}; // Col [000]
				{3'sd0,  3'sd0,  -3'sd1,  3'sd1} : sdn_recovered = {3'b010, 6'b000100}; // Col [010]
				{3'sd0,  3'sd1,  -3'sd1,  3'sd0} : sdn_recovered = {3'b100, 6'b000100}; // Col [100]
				{3'sd0,  3'sd1,  -3'sd2,  3'sd1} : sdn_recovered = {3'b110, 6'b000100}; // Col [110]
</v>
      </c>
    </row>
    <row r="8" spans="1:24" x14ac:dyDescent="0.25">
      <c r="A8" s="1" t="s">
        <v>12</v>
      </c>
      <c r="B8" s="1" t="s">
        <v>206</v>
      </c>
      <c r="C8" s="10" t="s">
        <v>179</v>
      </c>
      <c r="D8" s="12" t="s">
        <v>208</v>
      </c>
      <c r="E8" s="1" t="s">
        <v>204</v>
      </c>
      <c r="F8" s="1" t="s">
        <v>208</v>
      </c>
      <c r="G8" s="13" t="s">
        <v>204</v>
      </c>
      <c r="H8" s="12" t="s">
        <v>208</v>
      </c>
      <c r="I8" s="1" t="s">
        <v>204</v>
      </c>
      <c r="J8" s="1" t="s">
        <v>210</v>
      </c>
      <c r="K8" s="13" t="s">
        <v>207</v>
      </c>
      <c r="L8" s="12" t="s">
        <v>208</v>
      </c>
      <c r="M8" s="1" t="s">
        <v>207</v>
      </c>
      <c r="N8" s="1" t="s">
        <v>210</v>
      </c>
      <c r="O8" s="13" t="s">
        <v>204</v>
      </c>
      <c r="P8" s="12" t="s">
        <v>208</v>
      </c>
      <c r="Q8" s="1" t="s">
        <v>207</v>
      </c>
      <c r="R8" s="1" t="s">
        <v>208</v>
      </c>
      <c r="S8" s="13" t="s">
        <v>207</v>
      </c>
      <c r="T8" s="24" t="s">
        <v>214</v>
      </c>
      <c r="U8" s="24" t="s">
        <v>314</v>
      </c>
      <c r="V8" s="24" t="s">
        <v>315</v>
      </c>
      <c r="W8" s="24" t="s">
        <v>316</v>
      </c>
      <c r="X8" t="str">
        <f t="shared" si="0"/>
        <v xml:space="preserve">// Row: Sd_n[5:0] = 000101
				{-3'sd2,  3'sd0,  -3'sd2,  3'sd0} : sdn_recovered = {3'b000, 6'b000101}; // Col [000]
				{-3'sd2,  3'sd0,  -3'sd1,  3'sd1} : sdn_recovered = {3'b010, 6'b000101}; // Col [010]
				{-3'sd2,  3'sd1,  -3'sd1,  3'sd0} : sdn_recovered = {3'b100, 6'b000101}; // Col [100]
				{-3'sd2,  3'sd1,  -3'sd2,  3'sd1} : sdn_recovered = {3'b110, 6'b000101}; // Col [110]
</v>
      </c>
    </row>
    <row r="9" spans="1:24" x14ac:dyDescent="0.25">
      <c r="A9" s="1" t="s">
        <v>13</v>
      </c>
      <c r="B9" s="1" t="s">
        <v>206</v>
      </c>
      <c r="C9" s="10" t="s">
        <v>180</v>
      </c>
      <c r="D9" s="12" t="s">
        <v>204</v>
      </c>
      <c r="E9" s="1" t="s">
        <v>208</v>
      </c>
      <c r="F9" s="1" t="s">
        <v>208</v>
      </c>
      <c r="G9" s="13" t="s">
        <v>204</v>
      </c>
      <c r="H9" s="12" t="s">
        <v>204</v>
      </c>
      <c r="I9" s="1" t="s">
        <v>208</v>
      </c>
      <c r="J9" s="1" t="s">
        <v>210</v>
      </c>
      <c r="K9" s="13" t="s">
        <v>207</v>
      </c>
      <c r="L9" s="12" t="s">
        <v>204</v>
      </c>
      <c r="M9" s="1" t="s">
        <v>210</v>
      </c>
      <c r="N9" s="1" t="s">
        <v>210</v>
      </c>
      <c r="O9" s="13" t="s">
        <v>204</v>
      </c>
      <c r="P9" s="12" t="s">
        <v>204</v>
      </c>
      <c r="Q9" s="1" t="s">
        <v>210</v>
      </c>
      <c r="R9" s="1" t="s">
        <v>208</v>
      </c>
      <c r="S9" s="13" t="s">
        <v>207</v>
      </c>
      <c r="T9" s="24" t="s">
        <v>215</v>
      </c>
      <c r="U9" s="24" t="s">
        <v>317</v>
      </c>
      <c r="V9" s="24" t="s">
        <v>216</v>
      </c>
      <c r="W9" s="24" t="s">
        <v>318</v>
      </c>
      <c r="X9" t="str">
        <f t="shared" si="0"/>
        <v xml:space="preserve">// Row: Sd_n[5:0] = 000110
				{3'sd0,  -3'sd2,  -3'sd2,  3'sd0} : sdn_recovered = {3'b000, 6'b000110}; // Col [000]
				{3'sd0,  -3'sd2,  -3'sd1,  3'sd1} : sdn_recovered = {3'b010, 6'b000110}; // Col [010]
				{3'sd0,  -3'sd1,  -3'sd1,  3'sd0} : sdn_recovered = {3'b100, 6'b000110}; // Col [100]
				{3'sd0,  -3'sd1,  -3'sd2,  3'sd1} : sdn_recovered = {3'b110, 6'b000110}; // Col [110]
</v>
      </c>
    </row>
    <row r="10" spans="1:24" x14ac:dyDescent="0.25">
      <c r="A10" s="1" t="s">
        <v>14</v>
      </c>
      <c r="B10" s="1" t="s">
        <v>206</v>
      </c>
      <c r="C10" s="10" t="s">
        <v>181</v>
      </c>
      <c r="D10" s="12" t="s">
        <v>208</v>
      </c>
      <c r="E10" s="1" t="s">
        <v>208</v>
      </c>
      <c r="F10" s="1" t="s">
        <v>208</v>
      </c>
      <c r="G10" s="13" t="s">
        <v>204</v>
      </c>
      <c r="H10" s="12" t="s">
        <v>208</v>
      </c>
      <c r="I10" s="1" t="s">
        <v>208</v>
      </c>
      <c r="J10" s="1" t="s">
        <v>210</v>
      </c>
      <c r="K10" s="13" t="s">
        <v>207</v>
      </c>
      <c r="L10" s="12" t="s">
        <v>208</v>
      </c>
      <c r="M10" s="1" t="s">
        <v>210</v>
      </c>
      <c r="N10" s="1" t="s">
        <v>210</v>
      </c>
      <c r="O10" s="13" t="s">
        <v>204</v>
      </c>
      <c r="P10" s="12" t="s">
        <v>208</v>
      </c>
      <c r="Q10" s="1" t="s">
        <v>210</v>
      </c>
      <c r="R10" s="1" t="s">
        <v>208</v>
      </c>
      <c r="S10" s="13" t="s">
        <v>207</v>
      </c>
      <c r="T10" s="24" t="s">
        <v>217</v>
      </c>
      <c r="U10" s="24" t="s">
        <v>319</v>
      </c>
      <c r="V10" s="24" t="s">
        <v>218</v>
      </c>
      <c r="W10" s="24" t="s">
        <v>320</v>
      </c>
      <c r="X10" t="str">
        <f t="shared" si="0"/>
        <v xml:space="preserve">// Row: Sd_n[5:0] = 000111
				{-3'sd2,  -3'sd2,  -3'sd2,  3'sd0} : sdn_recovered = {3'b000, 6'b000111}; // Col [000]
				{-3'sd2,  -3'sd2,  -3'sd1,  3'sd1} : sdn_recovered = {3'b010, 6'b000111}; // Col [010]
				{-3'sd2,  -3'sd1,  -3'sd1,  3'sd0} : sdn_recovered = {3'b100, 6'b000111}; // Col [100]
				{-3'sd2,  -3'sd1,  -3'sd2,  3'sd1} : sdn_recovered = {3'b110, 6'b000111}; // Col [110]
</v>
      </c>
    </row>
    <row r="11" spans="1:24" x14ac:dyDescent="0.25">
      <c r="A11" s="1" t="s">
        <v>15</v>
      </c>
      <c r="B11" s="1" t="s">
        <v>206</v>
      </c>
      <c r="C11" s="10" t="s">
        <v>182</v>
      </c>
      <c r="D11" s="12" t="s">
        <v>204</v>
      </c>
      <c r="E11" s="1" t="s">
        <v>204</v>
      </c>
      <c r="F11" s="1" t="s">
        <v>204</v>
      </c>
      <c r="G11" s="13" t="s">
        <v>208</v>
      </c>
      <c r="H11" s="12" t="s">
        <v>204</v>
      </c>
      <c r="I11" s="1" t="s">
        <v>204</v>
      </c>
      <c r="J11" s="1" t="s">
        <v>207</v>
      </c>
      <c r="K11" s="13" t="s">
        <v>210</v>
      </c>
      <c r="L11" s="12" t="s">
        <v>204</v>
      </c>
      <c r="M11" s="1" t="s">
        <v>207</v>
      </c>
      <c r="N11" s="1" t="s">
        <v>207</v>
      </c>
      <c r="O11" s="13" t="s">
        <v>208</v>
      </c>
      <c r="P11" s="12" t="s">
        <v>204</v>
      </c>
      <c r="Q11" s="1" t="s">
        <v>207</v>
      </c>
      <c r="R11" s="1" t="s">
        <v>204</v>
      </c>
      <c r="S11" s="13" t="s">
        <v>210</v>
      </c>
      <c r="T11" s="24" t="s">
        <v>219</v>
      </c>
      <c r="U11" s="24" t="s">
        <v>321</v>
      </c>
      <c r="V11" s="24" t="s">
        <v>322</v>
      </c>
      <c r="W11" s="24" t="s">
        <v>323</v>
      </c>
      <c r="X11" t="str">
        <f t="shared" si="0"/>
        <v xml:space="preserve">// Row: Sd_n[5:0] = 001000
				{3'sd0,  3'sd0,  3'sd0,  -3'sd2} : sdn_recovered = {3'b000, 6'b001000}; // Col [000]
				{3'sd0,  3'sd0,  3'sd1,  -3'sd1} : sdn_recovered = {3'b010, 6'b001000}; // Col [010]
				{3'sd0,  3'sd1,  3'sd1,  -3'sd2} : sdn_recovered = {3'b100, 6'b001000}; // Col [100]
				{3'sd0,  3'sd1,  3'sd0,  -3'sd1} : sdn_recovered = {3'b110, 6'b001000}; // Col [110]
</v>
      </c>
    </row>
    <row r="12" spans="1:24" x14ac:dyDescent="0.25">
      <c r="A12" s="1" t="s">
        <v>16</v>
      </c>
      <c r="B12" s="1" t="s">
        <v>206</v>
      </c>
      <c r="C12" s="10" t="s">
        <v>183</v>
      </c>
      <c r="D12" s="12" t="s">
        <v>208</v>
      </c>
      <c r="E12" s="1" t="s">
        <v>204</v>
      </c>
      <c r="F12" s="1" t="s">
        <v>204</v>
      </c>
      <c r="G12" s="13" t="s">
        <v>208</v>
      </c>
      <c r="H12" s="12" t="s">
        <v>208</v>
      </c>
      <c r="I12" s="1" t="s">
        <v>204</v>
      </c>
      <c r="J12" s="1" t="s">
        <v>207</v>
      </c>
      <c r="K12" s="13" t="s">
        <v>210</v>
      </c>
      <c r="L12" s="12" t="s">
        <v>208</v>
      </c>
      <c r="M12" s="1" t="s">
        <v>207</v>
      </c>
      <c r="N12" s="1" t="s">
        <v>207</v>
      </c>
      <c r="O12" s="13" t="s">
        <v>208</v>
      </c>
      <c r="P12" s="12" t="s">
        <v>208</v>
      </c>
      <c r="Q12" s="1" t="s">
        <v>207</v>
      </c>
      <c r="R12" s="1" t="s">
        <v>204</v>
      </c>
      <c r="S12" s="13" t="s">
        <v>210</v>
      </c>
      <c r="T12" s="24" t="s">
        <v>220</v>
      </c>
      <c r="U12" s="24" t="s">
        <v>324</v>
      </c>
      <c r="V12" s="24" t="s">
        <v>325</v>
      </c>
      <c r="W12" s="24" t="s">
        <v>326</v>
      </c>
      <c r="X12" t="str">
        <f t="shared" si="0"/>
        <v xml:space="preserve">// Row: Sd_n[5:0] = 001001
				{-3'sd2,  3'sd0,  3'sd0,  -3'sd2} : sdn_recovered = {3'b000, 6'b001001}; // Col [000]
				{-3'sd2,  3'sd0,  3'sd1,  -3'sd1} : sdn_recovered = {3'b010, 6'b001001}; // Col [010]
				{-3'sd2,  3'sd1,  3'sd1,  -3'sd2} : sdn_recovered = {3'b100, 6'b001001}; // Col [100]
				{-3'sd2,  3'sd1,  3'sd0,  -3'sd1} : sdn_recovered = {3'b110, 6'b001001}; // Col [110]
</v>
      </c>
    </row>
    <row r="13" spans="1:24" x14ac:dyDescent="0.25">
      <c r="A13" s="1" t="s">
        <v>17</v>
      </c>
      <c r="B13" s="1" t="s">
        <v>206</v>
      </c>
      <c r="C13" s="10" t="s">
        <v>184</v>
      </c>
      <c r="D13" s="12" t="s">
        <v>204</v>
      </c>
      <c r="E13" s="1" t="s">
        <v>208</v>
      </c>
      <c r="F13" s="1" t="s">
        <v>204</v>
      </c>
      <c r="G13" s="13" t="s">
        <v>208</v>
      </c>
      <c r="H13" s="12" t="s">
        <v>204</v>
      </c>
      <c r="I13" s="1" t="s">
        <v>208</v>
      </c>
      <c r="J13" s="1" t="s">
        <v>207</v>
      </c>
      <c r="K13" s="13" t="s">
        <v>210</v>
      </c>
      <c r="L13" s="12" t="s">
        <v>204</v>
      </c>
      <c r="M13" s="1" t="s">
        <v>210</v>
      </c>
      <c r="N13" s="1" t="s">
        <v>207</v>
      </c>
      <c r="O13" s="13" t="s">
        <v>208</v>
      </c>
      <c r="P13" s="12" t="s">
        <v>204</v>
      </c>
      <c r="Q13" s="1" t="s">
        <v>210</v>
      </c>
      <c r="R13" s="1" t="s">
        <v>204</v>
      </c>
      <c r="S13" s="13" t="s">
        <v>210</v>
      </c>
      <c r="T13" s="24" t="s">
        <v>221</v>
      </c>
      <c r="U13" s="24" t="s">
        <v>327</v>
      </c>
      <c r="V13" s="24" t="s">
        <v>328</v>
      </c>
      <c r="W13" s="24" t="s">
        <v>222</v>
      </c>
      <c r="X13" t="str">
        <f t="shared" si="0"/>
        <v xml:space="preserve">// Row: Sd_n[5:0] = 001010
				{3'sd0,  -3'sd2,  3'sd0,  -3'sd2} : sdn_recovered = {3'b000, 6'b001010}; // Col [000]
				{3'sd0,  -3'sd2,  3'sd1,  -3'sd1} : sdn_recovered = {3'b010, 6'b001010}; // Col [010]
				{3'sd0,  -3'sd1,  3'sd1,  -3'sd2} : sdn_recovered = {3'b100, 6'b001010}; // Col [100]
				{3'sd0,  -3'sd1,  3'sd0,  -3'sd1} : sdn_recovered = {3'b110, 6'b001010}; // Col [110]
</v>
      </c>
    </row>
    <row r="14" spans="1:24" x14ac:dyDescent="0.25">
      <c r="A14" s="1" t="s">
        <v>18</v>
      </c>
      <c r="B14" s="1" t="s">
        <v>206</v>
      </c>
      <c r="C14" s="10" t="s">
        <v>185</v>
      </c>
      <c r="D14" s="12" t="s">
        <v>208</v>
      </c>
      <c r="E14" s="1" t="s">
        <v>208</v>
      </c>
      <c r="F14" s="1" t="s">
        <v>204</v>
      </c>
      <c r="G14" s="13" t="s">
        <v>208</v>
      </c>
      <c r="H14" s="12" t="s">
        <v>208</v>
      </c>
      <c r="I14" s="1" t="s">
        <v>208</v>
      </c>
      <c r="J14" s="1" t="s">
        <v>207</v>
      </c>
      <c r="K14" s="13" t="s">
        <v>210</v>
      </c>
      <c r="L14" s="12" t="s">
        <v>208</v>
      </c>
      <c r="M14" s="1" t="s">
        <v>210</v>
      </c>
      <c r="N14" s="1" t="s">
        <v>207</v>
      </c>
      <c r="O14" s="13" t="s">
        <v>208</v>
      </c>
      <c r="P14" s="12" t="s">
        <v>208</v>
      </c>
      <c r="Q14" s="1" t="s">
        <v>210</v>
      </c>
      <c r="R14" s="1" t="s">
        <v>204</v>
      </c>
      <c r="S14" s="13" t="s">
        <v>210</v>
      </c>
      <c r="T14" s="24" t="s">
        <v>223</v>
      </c>
      <c r="U14" s="24" t="s">
        <v>329</v>
      </c>
      <c r="V14" s="24" t="s">
        <v>330</v>
      </c>
      <c r="W14" s="24" t="s">
        <v>224</v>
      </c>
      <c r="X14" t="str">
        <f t="shared" si="0"/>
        <v xml:space="preserve">// Row: Sd_n[5:0] = 001011
				{-3'sd2,  -3'sd2,  3'sd0,  -3'sd2} : sdn_recovered = {3'b000, 6'b001011}; // Col [000]
				{-3'sd2,  -3'sd2,  3'sd1,  -3'sd1} : sdn_recovered = {3'b010, 6'b001011}; // Col [010]
				{-3'sd2,  -3'sd1,  3'sd1,  -3'sd2} : sdn_recovered = {3'b100, 6'b001011}; // Col [100]
				{-3'sd2,  -3'sd1,  3'sd0,  -3'sd1} : sdn_recovered = {3'b110, 6'b001011}; // Col [110]
</v>
      </c>
    </row>
    <row r="15" spans="1:24" x14ac:dyDescent="0.25">
      <c r="A15" s="1" t="s">
        <v>19</v>
      </c>
      <c r="B15" s="1" t="s">
        <v>206</v>
      </c>
      <c r="C15" s="10" t="s">
        <v>186</v>
      </c>
      <c r="D15" s="12" t="s">
        <v>204</v>
      </c>
      <c r="E15" s="1" t="s">
        <v>204</v>
      </c>
      <c r="F15" s="1" t="s">
        <v>208</v>
      </c>
      <c r="G15" s="13" t="s">
        <v>208</v>
      </c>
      <c r="H15" s="12" t="s">
        <v>204</v>
      </c>
      <c r="I15" s="1" t="s">
        <v>204</v>
      </c>
      <c r="J15" s="1" t="s">
        <v>210</v>
      </c>
      <c r="K15" s="13" t="s">
        <v>210</v>
      </c>
      <c r="L15" s="12" t="s">
        <v>204</v>
      </c>
      <c r="M15" s="1" t="s">
        <v>207</v>
      </c>
      <c r="N15" s="1" t="s">
        <v>210</v>
      </c>
      <c r="O15" s="13" t="s">
        <v>208</v>
      </c>
      <c r="P15" s="12" t="s">
        <v>204</v>
      </c>
      <c r="Q15" s="1" t="s">
        <v>207</v>
      </c>
      <c r="R15" s="1" t="s">
        <v>208</v>
      </c>
      <c r="S15" s="13" t="s">
        <v>210</v>
      </c>
      <c r="T15" s="24" t="s">
        <v>225</v>
      </c>
      <c r="U15" s="24" t="s">
        <v>226</v>
      </c>
      <c r="V15" s="24" t="s">
        <v>331</v>
      </c>
      <c r="W15" s="24" t="s">
        <v>332</v>
      </c>
      <c r="X15" t="str">
        <f t="shared" si="0"/>
        <v xml:space="preserve">// Row: Sd_n[5:0] = 001100
				{3'sd0,  3'sd0,  -3'sd2,  -3'sd2} : sdn_recovered = {3'b000, 6'b001100}; // Col [000]
				{3'sd0,  3'sd0,  -3'sd1,  -3'sd1} : sdn_recovered = {3'b010, 6'b001100}; // Col [010]
				{3'sd0,  3'sd1,  -3'sd1,  -3'sd2} : sdn_recovered = {3'b100, 6'b001100}; // Col [100]
				{3'sd0,  3'sd1,  -3'sd2,  -3'sd1} : sdn_recovered = {3'b110, 6'b001100}; // Col [110]
</v>
      </c>
    </row>
    <row r="16" spans="1:24" x14ac:dyDescent="0.25">
      <c r="A16" s="1" t="s">
        <v>20</v>
      </c>
      <c r="B16" s="1" t="s">
        <v>206</v>
      </c>
      <c r="C16" s="10" t="s">
        <v>187</v>
      </c>
      <c r="D16" s="12" t="s">
        <v>208</v>
      </c>
      <c r="E16" s="1" t="s">
        <v>204</v>
      </c>
      <c r="F16" s="1" t="s">
        <v>208</v>
      </c>
      <c r="G16" s="13" t="s">
        <v>208</v>
      </c>
      <c r="H16" s="12" t="s">
        <v>208</v>
      </c>
      <c r="I16" s="1" t="s">
        <v>204</v>
      </c>
      <c r="J16" s="1" t="s">
        <v>210</v>
      </c>
      <c r="K16" s="13" t="s">
        <v>210</v>
      </c>
      <c r="L16" s="12" t="s">
        <v>208</v>
      </c>
      <c r="M16" s="1" t="s">
        <v>207</v>
      </c>
      <c r="N16" s="1" t="s">
        <v>210</v>
      </c>
      <c r="O16" s="13" t="s">
        <v>208</v>
      </c>
      <c r="P16" s="12" t="s">
        <v>208</v>
      </c>
      <c r="Q16" s="1" t="s">
        <v>207</v>
      </c>
      <c r="R16" s="1" t="s">
        <v>208</v>
      </c>
      <c r="S16" s="13" t="s">
        <v>210</v>
      </c>
      <c r="T16" s="24" t="s">
        <v>227</v>
      </c>
      <c r="U16" s="24" t="s">
        <v>228</v>
      </c>
      <c r="V16" s="24" t="s">
        <v>333</v>
      </c>
      <c r="W16" s="24" t="s">
        <v>334</v>
      </c>
      <c r="X16" t="str">
        <f t="shared" si="0"/>
        <v xml:space="preserve">// Row: Sd_n[5:0] = 001101
				{-3'sd2,  3'sd0,  -3'sd2,  -3'sd2} : sdn_recovered = {3'b000, 6'b001101}; // Col [000]
				{-3'sd2,  3'sd0,  -3'sd1,  -3'sd1} : sdn_recovered = {3'b010, 6'b001101}; // Col [010]
				{-3'sd2,  3'sd1,  -3'sd1,  -3'sd2} : sdn_recovered = {3'b100, 6'b001101}; // Col [100]
				{-3'sd2,  3'sd1,  -3'sd2,  -3'sd1} : sdn_recovered = {3'b110, 6'b001101}; // Col [110]
</v>
      </c>
    </row>
    <row r="17" spans="1:24" x14ac:dyDescent="0.25">
      <c r="A17" s="1" t="s">
        <v>21</v>
      </c>
      <c r="B17" s="1" t="s">
        <v>206</v>
      </c>
      <c r="C17" s="10" t="s">
        <v>188</v>
      </c>
      <c r="D17" s="12" t="s">
        <v>204</v>
      </c>
      <c r="E17" s="1" t="s">
        <v>208</v>
      </c>
      <c r="F17" s="1" t="s">
        <v>208</v>
      </c>
      <c r="G17" s="13" t="s">
        <v>208</v>
      </c>
      <c r="H17" s="12" t="s">
        <v>204</v>
      </c>
      <c r="I17" s="1" t="s">
        <v>208</v>
      </c>
      <c r="J17" s="1" t="s">
        <v>210</v>
      </c>
      <c r="K17" s="13" t="s">
        <v>210</v>
      </c>
      <c r="L17" s="12" t="s">
        <v>204</v>
      </c>
      <c r="M17" s="1" t="s">
        <v>210</v>
      </c>
      <c r="N17" s="1" t="s">
        <v>210</v>
      </c>
      <c r="O17" s="13" t="s">
        <v>208</v>
      </c>
      <c r="P17" s="12" t="s">
        <v>204</v>
      </c>
      <c r="Q17" s="1" t="s">
        <v>210</v>
      </c>
      <c r="R17" s="1" t="s">
        <v>208</v>
      </c>
      <c r="S17" s="13" t="s">
        <v>210</v>
      </c>
      <c r="T17" s="24" t="s">
        <v>229</v>
      </c>
      <c r="U17" s="24" t="s">
        <v>230</v>
      </c>
      <c r="V17" s="24" t="s">
        <v>231</v>
      </c>
      <c r="W17" s="24" t="s">
        <v>232</v>
      </c>
      <c r="X17" t="str">
        <f t="shared" si="0"/>
        <v xml:space="preserve">// Row: Sd_n[5:0] = 001110
				{3'sd0,  -3'sd2,  -3'sd2,  -3'sd2} : sdn_recovered = {3'b000, 6'b001110}; // Col [000]
				{3'sd0,  -3'sd2,  -3'sd1,  -3'sd1} : sdn_recovered = {3'b010, 6'b001110}; // Col [010]
				{3'sd0,  -3'sd1,  -3'sd1,  -3'sd2} : sdn_recovered = {3'b100, 6'b001110}; // Col [100]
				{3'sd0,  -3'sd1,  -3'sd2,  -3'sd1} : sdn_recovered = {3'b110, 6'b001110}; // Col [110]
</v>
      </c>
    </row>
    <row r="18" spans="1:24" x14ac:dyDescent="0.25">
      <c r="A18" s="1" t="s">
        <v>22</v>
      </c>
      <c r="B18" s="1" t="s">
        <v>206</v>
      </c>
      <c r="C18" s="10" t="s">
        <v>189</v>
      </c>
      <c r="D18" s="12" t="s">
        <v>208</v>
      </c>
      <c r="E18" s="1" t="s">
        <v>208</v>
      </c>
      <c r="F18" s="1" t="s">
        <v>208</v>
      </c>
      <c r="G18" s="13" t="s">
        <v>208</v>
      </c>
      <c r="H18" s="12" t="s">
        <v>208</v>
      </c>
      <c r="I18" s="1" t="s">
        <v>208</v>
      </c>
      <c r="J18" s="1" t="s">
        <v>210</v>
      </c>
      <c r="K18" s="13" t="s">
        <v>210</v>
      </c>
      <c r="L18" s="12" t="s">
        <v>208</v>
      </c>
      <c r="M18" s="1" t="s">
        <v>210</v>
      </c>
      <c r="N18" s="1" t="s">
        <v>210</v>
      </c>
      <c r="O18" s="13" t="s">
        <v>208</v>
      </c>
      <c r="P18" s="12" t="s">
        <v>208</v>
      </c>
      <c r="Q18" s="1" t="s">
        <v>210</v>
      </c>
      <c r="R18" s="1" t="s">
        <v>208</v>
      </c>
      <c r="S18" s="13" t="s">
        <v>210</v>
      </c>
      <c r="T18" s="24" t="s">
        <v>233</v>
      </c>
      <c r="U18" s="24" t="s">
        <v>234</v>
      </c>
      <c r="V18" s="24" t="s">
        <v>235</v>
      </c>
      <c r="W18" s="24" t="s">
        <v>236</v>
      </c>
      <c r="X18" t="str">
        <f t="shared" si="0"/>
        <v xml:space="preserve">// Row: Sd_n[5:0] = 001111
				{-3'sd2,  -3'sd2,  -3'sd2,  -3'sd2} : sdn_recovered = {3'b000, 6'b001111}; // Col [000]
				{-3'sd2,  -3'sd2,  -3'sd1,  -3'sd1} : sdn_recovered = {3'b010, 6'b001111}; // Col [010]
				{-3'sd2,  -3'sd1,  -3'sd1,  -3'sd2} : sdn_recovered = {3'b100, 6'b001111}; // Col [100]
				{-3'sd2,  -3'sd1,  -3'sd2,  -3'sd1} : sdn_recovered = {3'b110, 6'b001111}; // Col [110]
</v>
      </c>
    </row>
    <row r="19" spans="1:24" x14ac:dyDescent="0.25">
      <c r="A19" s="1" t="s">
        <v>23</v>
      </c>
      <c r="B19" s="1" t="s">
        <v>206</v>
      </c>
      <c r="C19" s="10" t="s">
        <v>190</v>
      </c>
      <c r="D19" s="12" t="s">
        <v>207</v>
      </c>
      <c r="E19" s="1" t="s">
        <v>207</v>
      </c>
      <c r="F19" s="1" t="s">
        <v>207</v>
      </c>
      <c r="G19" s="13" t="s">
        <v>207</v>
      </c>
      <c r="H19" s="12" t="s">
        <v>207</v>
      </c>
      <c r="I19" s="1" t="s">
        <v>207</v>
      </c>
      <c r="J19" s="1" t="s">
        <v>204</v>
      </c>
      <c r="K19" s="13" t="s">
        <v>204</v>
      </c>
      <c r="L19" s="12" t="s">
        <v>207</v>
      </c>
      <c r="M19" s="1" t="s">
        <v>204</v>
      </c>
      <c r="N19" s="1" t="s">
        <v>204</v>
      </c>
      <c r="O19" s="13" t="s">
        <v>207</v>
      </c>
      <c r="P19" s="12" t="s">
        <v>207</v>
      </c>
      <c r="Q19" s="1" t="s">
        <v>204</v>
      </c>
      <c r="R19" s="1" t="s">
        <v>207</v>
      </c>
      <c r="S19" s="13" t="s">
        <v>204</v>
      </c>
      <c r="T19" s="24" t="s">
        <v>335</v>
      </c>
      <c r="U19" s="24" t="s">
        <v>336</v>
      </c>
      <c r="V19" s="24" t="s">
        <v>337</v>
      </c>
      <c r="W19" s="24" t="s">
        <v>338</v>
      </c>
      <c r="X19" t="str">
        <f t="shared" si="0"/>
        <v xml:space="preserve">// Row: Sd_n[5:0] = 010000
				{3'sd1,  3'sd1,  3'sd1,  3'sd1} : sdn_recovered = {3'b000, 6'b010000}; // Col [000]
				{3'sd1,  3'sd1,  3'sd0,  3'sd0} : sdn_recovered = {3'b010, 6'b010000}; // Col [010]
				{3'sd1,  3'sd0,  3'sd0,  3'sd1} : sdn_recovered = {3'b100, 6'b010000}; // Col [100]
				{3'sd1,  3'sd0,  3'sd1,  3'sd0} : sdn_recovered = {3'b110, 6'b010000}; // Col [110]
</v>
      </c>
    </row>
    <row r="20" spans="1:24" x14ac:dyDescent="0.25">
      <c r="A20" s="1" t="s">
        <v>24</v>
      </c>
      <c r="B20" s="1" t="s">
        <v>206</v>
      </c>
      <c r="C20" s="10" t="s">
        <v>191</v>
      </c>
      <c r="D20" s="12" t="s">
        <v>210</v>
      </c>
      <c r="E20" s="1" t="s">
        <v>207</v>
      </c>
      <c r="F20" s="1" t="s">
        <v>207</v>
      </c>
      <c r="G20" s="13" t="s">
        <v>207</v>
      </c>
      <c r="H20" s="12" t="s">
        <v>210</v>
      </c>
      <c r="I20" s="1" t="s">
        <v>207</v>
      </c>
      <c r="J20" s="1" t="s">
        <v>204</v>
      </c>
      <c r="K20" s="13" t="s">
        <v>204</v>
      </c>
      <c r="L20" s="12" t="s">
        <v>210</v>
      </c>
      <c r="M20" s="1" t="s">
        <v>204</v>
      </c>
      <c r="N20" s="1" t="s">
        <v>204</v>
      </c>
      <c r="O20" s="13" t="s">
        <v>207</v>
      </c>
      <c r="P20" s="12" t="s">
        <v>210</v>
      </c>
      <c r="Q20" s="1" t="s">
        <v>204</v>
      </c>
      <c r="R20" s="1" t="s">
        <v>207</v>
      </c>
      <c r="S20" s="13" t="s">
        <v>204</v>
      </c>
      <c r="T20" s="24" t="s">
        <v>339</v>
      </c>
      <c r="U20" s="24" t="s">
        <v>340</v>
      </c>
      <c r="V20" s="24" t="s">
        <v>341</v>
      </c>
      <c r="W20" s="24" t="s">
        <v>342</v>
      </c>
      <c r="X20" t="str">
        <f t="shared" si="0"/>
        <v xml:space="preserve">// Row: Sd_n[5:0] = 010001
				{-3'sd1,  3'sd1,  3'sd1,  3'sd1} : sdn_recovered = {3'b000, 6'b010001}; // Col [000]
				{-3'sd1,  3'sd1,  3'sd0,  3'sd0} : sdn_recovered = {3'b010, 6'b010001}; // Col [010]
				{-3'sd1,  3'sd0,  3'sd0,  3'sd1} : sdn_recovered = {3'b100, 6'b010001}; // Col [100]
				{-3'sd1,  3'sd0,  3'sd1,  3'sd0} : sdn_recovered = {3'b110, 6'b010001}; // Col [110]
</v>
      </c>
    </row>
    <row r="21" spans="1:24" x14ac:dyDescent="0.25">
      <c r="A21" s="1" t="s">
        <v>25</v>
      </c>
      <c r="B21" s="1" t="s">
        <v>206</v>
      </c>
      <c r="C21" s="10" t="s">
        <v>192</v>
      </c>
      <c r="D21" s="12" t="s">
        <v>207</v>
      </c>
      <c r="E21" s="1" t="s">
        <v>210</v>
      </c>
      <c r="F21" s="1" t="s">
        <v>207</v>
      </c>
      <c r="G21" s="13" t="s">
        <v>207</v>
      </c>
      <c r="H21" s="12" t="s">
        <v>207</v>
      </c>
      <c r="I21" s="1" t="s">
        <v>210</v>
      </c>
      <c r="J21" s="1" t="s">
        <v>204</v>
      </c>
      <c r="K21" s="13" t="s">
        <v>204</v>
      </c>
      <c r="L21" s="12" t="s">
        <v>207</v>
      </c>
      <c r="M21" s="1" t="s">
        <v>208</v>
      </c>
      <c r="N21" s="1" t="s">
        <v>204</v>
      </c>
      <c r="O21" s="13" t="s">
        <v>207</v>
      </c>
      <c r="P21" s="12" t="s">
        <v>207</v>
      </c>
      <c r="Q21" s="1" t="s">
        <v>208</v>
      </c>
      <c r="R21" s="1" t="s">
        <v>207</v>
      </c>
      <c r="S21" s="13" t="s">
        <v>204</v>
      </c>
      <c r="T21" s="24" t="s">
        <v>343</v>
      </c>
      <c r="U21" s="24" t="s">
        <v>344</v>
      </c>
      <c r="V21" s="24" t="s">
        <v>345</v>
      </c>
      <c r="W21" s="24" t="s">
        <v>346</v>
      </c>
      <c r="X21" t="str">
        <f t="shared" si="0"/>
        <v xml:space="preserve">// Row: Sd_n[5:0] = 010010
				{3'sd1,  -3'sd1,  3'sd1,  3'sd1} : sdn_recovered = {3'b000, 6'b010010}; // Col [000]
				{3'sd1,  -3'sd1,  3'sd0,  3'sd0} : sdn_recovered = {3'b010, 6'b010010}; // Col [010]
				{3'sd1,  -3'sd2,  3'sd0,  3'sd1} : sdn_recovered = {3'b100, 6'b010010}; // Col [100]
				{3'sd1,  -3'sd2,  3'sd1,  3'sd0} : sdn_recovered = {3'b110, 6'b010010}; // Col [110]
</v>
      </c>
    </row>
    <row r="22" spans="1:24" x14ac:dyDescent="0.25">
      <c r="A22" s="1" t="s">
        <v>26</v>
      </c>
      <c r="B22" s="1" t="s">
        <v>206</v>
      </c>
      <c r="C22" s="10" t="s">
        <v>193</v>
      </c>
      <c r="D22" s="12" t="s">
        <v>210</v>
      </c>
      <c r="E22" s="1" t="s">
        <v>210</v>
      </c>
      <c r="F22" s="1" t="s">
        <v>207</v>
      </c>
      <c r="G22" s="13" t="s">
        <v>207</v>
      </c>
      <c r="H22" s="12" t="s">
        <v>210</v>
      </c>
      <c r="I22" s="1" t="s">
        <v>210</v>
      </c>
      <c r="J22" s="1" t="s">
        <v>204</v>
      </c>
      <c r="K22" s="13" t="s">
        <v>204</v>
      </c>
      <c r="L22" s="12" t="s">
        <v>210</v>
      </c>
      <c r="M22" s="1" t="s">
        <v>208</v>
      </c>
      <c r="N22" s="1" t="s">
        <v>204</v>
      </c>
      <c r="O22" s="13" t="s">
        <v>207</v>
      </c>
      <c r="P22" s="12" t="s">
        <v>210</v>
      </c>
      <c r="Q22" s="1" t="s">
        <v>208</v>
      </c>
      <c r="R22" s="1" t="s">
        <v>207</v>
      </c>
      <c r="S22" s="13" t="s">
        <v>204</v>
      </c>
      <c r="T22" s="24" t="s">
        <v>347</v>
      </c>
      <c r="U22" s="24" t="s">
        <v>237</v>
      </c>
      <c r="V22" s="24" t="s">
        <v>348</v>
      </c>
      <c r="W22" s="24" t="s">
        <v>349</v>
      </c>
      <c r="X22" t="str">
        <f t="shared" si="0"/>
        <v xml:space="preserve">// Row: Sd_n[5:0] = 010011
				{-3'sd1,  -3'sd1,  3'sd1,  3'sd1} : sdn_recovered = {3'b000, 6'b010011}; // Col [000]
				{-3'sd1,  -3'sd1,  3'sd0,  3'sd0} : sdn_recovered = {3'b010, 6'b010011}; // Col [010]
				{-3'sd1,  -3'sd2,  3'sd0,  3'sd1} : sdn_recovered = {3'b100, 6'b010011}; // Col [100]
				{-3'sd1,  -3'sd2,  3'sd1,  3'sd0} : sdn_recovered = {3'b110, 6'b010011}; // Col [110]
</v>
      </c>
    </row>
    <row r="23" spans="1:24" x14ac:dyDescent="0.25">
      <c r="A23" s="1" t="s">
        <v>27</v>
      </c>
      <c r="B23" s="1" t="s">
        <v>206</v>
      </c>
      <c r="C23" s="10" t="s">
        <v>194</v>
      </c>
      <c r="D23" s="12" t="s">
        <v>207</v>
      </c>
      <c r="E23" s="1" t="s">
        <v>207</v>
      </c>
      <c r="F23" s="1" t="s">
        <v>210</v>
      </c>
      <c r="G23" s="13" t="s">
        <v>207</v>
      </c>
      <c r="H23" s="12" t="s">
        <v>207</v>
      </c>
      <c r="I23" s="1" t="s">
        <v>207</v>
      </c>
      <c r="J23" s="1" t="s">
        <v>208</v>
      </c>
      <c r="K23" s="13" t="s">
        <v>204</v>
      </c>
      <c r="L23" s="12" t="s">
        <v>207</v>
      </c>
      <c r="M23" s="1" t="s">
        <v>204</v>
      </c>
      <c r="N23" s="1" t="s">
        <v>208</v>
      </c>
      <c r="O23" s="13" t="s">
        <v>207</v>
      </c>
      <c r="P23" s="12" t="s">
        <v>207</v>
      </c>
      <c r="Q23" s="1" t="s">
        <v>204</v>
      </c>
      <c r="R23" s="1" t="s">
        <v>210</v>
      </c>
      <c r="S23" s="13" t="s">
        <v>204</v>
      </c>
      <c r="T23" s="24" t="s">
        <v>350</v>
      </c>
      <c r="U23" s="24" t="s">
        <v>351</v>
      </c>
      <c r="V23" s="24" t="s">
        <v>352</v>
      </c>
      <c r="W23" s="24" t="s">
        <v>353</v>
      </c>
      <c r="X23" t="str">
        <f t="shared" si="0"/>
        <v xml:space="preserve">// Row: Sd_n[5:0] = 010100
				{3'sd1,  3'sd1,  -3'sd1,  3'sd1} : sdn_recovered = {3'b000, 6'b010100}; // Col [000]
				{3'sd1,  3'sd1,  -3'sd2,  3'sd0} : sdn_recovered = {3'b010, 6'b010100}; // Col [010]
				{3'sd1,  3'sd0,  -3'sd2,  3'sd1} : sdn_recovered = {3'b100, 6'b010100}; // Col [100]
				{3'sd1,  3'sd0,  -3'sd1,  3'sd0} : sdn_recovered = {3'b110, 6'b010100}; // Col [110]
</v>
      </c>
    </row>
    <row r="24" spans="1:24" x14ac:dyDescent="0.25">
      <c r="A24" s="1" t="s">
        <v>28</v>
      </c>
      <c r="B24" s="1" t="s">
        <v>206</v>
      </c>
      <c r="C24" s="10" t="s">
        <v>195</v>
      </c>
      <c r="D24" s="12" t="s">
        <v>210</v>
      </c>
      <c r="E24" s="1" t="s">
        <v>207</v>
      </c>
      <c r="F24" s="1" t="s">
        <v>210</v>
      </c>
      <c r="G24" s="13" t="s">
        <v>207</v>
      </c>
      <c r="H24" s="12" t="s">
        <v>210</v>
      </c>
      <c r="I24" s="1" t="s">
        <v>207</v>
      </c>
      <c r="J24" s="1" t="s">
        <v>208</v>
      </c>
      <c r="K24" s="13" t="s">
        <v>204</v>
      </c>
      <c r="L24" s="12" t="s">
        <v>210</v>
      </c>
      <c r="M24" s="1" t="s">
        <v>204</v>
      </c>
      <c r="N24" s="1" t="s">
        <v>208</v>
      </c>
      <c r="O24" s="13" t="s">
        <v>207</v>
      </c>
      <c r="P24" s="12" t="s">
        <v>210</v>
      </c>
      <c r="Q24" s="1" t="s">
        <v>204</v>
      </c>
      <c r="R24" s="1" t="s">
        <v>210</v>
      </c>
      <c r="S24" s="13" t="s">
        <v>204</v>
      </c>
      <c r="T24" s="24" t="s">
        <v>354</v>
      </c>
      <c r="U24" s="24" t="s">
        <v>355</v>
      </c>
      <c r="V24" s="24" t="s">
        <v>356</v>
      </c>
      <c r="W24" s="24" t="s">
        <v>238</v>
      </c>
      <c r="X24" t="str">
        <f t="shared" si="0"/>
        <v xml:space="preserve">// Row: Sd_n[5:0] = 010101
				{-3'sd1,  3'sd1,  -3'sd1,  3'sd1} : sdn_recovered = {3'b000, 6'b010101}; // Col [000]
				{-3'sd1,  3'sd1,  -3'sd2,  3'sd0} : sdn_recovered = {3'b010, 6'b010101}; // Col [010]
				{-3'sd1,  3'sd0,  -3'sd2,  3'sd1} : sdn_recovered = {3'b100, 6'b010101}; // Col [100]
				{-3'sd1,  3'sd0,  -3'sd1,  3'sd0} : sdn_recovered = {3'b110, 6'b010101}; // Col [110]
</v>
      </c>
    </row>
    <row r="25" spans="1:24" x14ac:dyDescent="0.25">
      <c r="A25" s="1" t="s">
        <v>29</v>
      </c>
      <c r="B25" s="1" t="s">
        <v>206</v>
      </c>
      <c r="C25" s="10" t="s">
        <v>196</v>
      </c>
      <c r="D25" s="12" t="s">
        <v>207</v>
      </c>
      <c r="E25" s="1" t="s">
        <v>210</v>
      </c>
      <c r="F25" s="1" t="s">
        <v>210</v>
      </c>
      <c r="G25" s="13" t="s">
        <v>207</v>
      </c>
      <c r="H25" s="12" t="s">
        <v>207</v>
      </c>
      <c r="I25" s="1" t="s">
        <v>210</v>
      </c>
      <c r="J25" s="1" t="s">
        <v>208</v>
      </c>
      <c r="K25" s="13" t="s">
        <v>204</v>
      </c>
      <c r="L25" s="12" t="s">
        <v>207</v>
      </c>
      <c r="M25" s="1" t="s">
        <v>208</v>
      </c>
      <c r="N25" s="1" t="s">
        <v>208</v>
      </c>
      <c r="O25" s="13" t="s">
        <v>207</v>
      </c>
      <c r="P25" s="12" t="s">
        <v>207</v>
      </c>
      <c r="Q25" s="1" t="s">
        <v>208</v>
      </c>
      <c r="R25" s="1" t="s">
        <v>210</v>
      </c>
      <c r="S25" s="13" t="s">
        <v>204</v>
      </c>
      <c r="T25" s="24" t="s">
        <v>357</v>
      </c>
      <c r="U25" s="24" t="s">
        <v>358</v>
      </c>
      <c r="V25" s="24" t="s">
        <v>359</v>
      </c>
      <c r="W25" s="24" t="s">
        <v>360</v>
      </c>
      <c r="X25" t="str">
        <f t="shared" si="0"/>
        <v xml:space="preserve">// Row: Sd_n[5:0] = 010110
				{3'sd1,  -3'sd1,  -3'sd1,  3'sd1} : sdn_recovered = {3'b000, 6'b010110}; // Col [000]
				{3'sd1,  -3'sd1,  -3'sd2,  3'sd0} : sdn_recovered = {3'b010, 6'b010110}; // Col [010]
				{3'sd1,  -3'sd2,  -3'sd2,  3'sd1} : sdn_recovered = {3'b100, 6'b010110}; // Col [100]
				{3'sd1,  -3'sd2,  -3'sd1,  3'sd0} : sdn_recovered = {3'b110, 6'b010110}; // Col [110]
</v>
      </c>
    </row>
    <row r="26" spans="1:24" x14ac:dyDescent="0.25">
      <c r="A26" s="1" t="s">
        <v>30</v>
      </c>
      <c r="B26" s="1" t="s">
        <v>206</v>
      </c>
      <c r="C26" s="10" t="s">
        <v>197</v>
      </c>
      <c r="D26" s="12" t="s">
        <v>210</v>
      </c>
      <c r="E26" s="1" t="s">
        <v>210</v>
      </c>
      <c r="F26" s="1" t="s">
        <v>210</v>
      </c>
      <c r="G26" s="13" t="s">
        <v>207</v>
      </c>
      <c r="H26" s="12" t="s">
        <v>210</v>
      </c>
      <c r="I26" s="1" t="s">
        <v>210</v>
      </c>
      <c r="J26" s="1" t="s">
        <v>208</v>
      </c>
      <c r="K26" s="13" t="s">
        <v>204</v>
      </c>
      <c r="L26" s="12" t="s">
        <v>210</v>
      </c>
      <c r="M26" s="1" t="s">
        <v>208</v>
      </c>
      <c r="N26" s="1" t="s">
        <v>208</v>
      </c>
      <c r="O26" s="13" t="s">
        <v>207</v>
      </c>
      <c r="P26" s="12" t="s">
        <v>210</v>
      </c>
      <c r="Q26" s="1" t="s">
        <v>208</v>
      </c>
      <c r="R26" s="1" t="s">
        <v>210</v>
      </c>
      <c r="S26" s="13" t="s">
        <v>204</v>
      </c>
      <c r="T26" s="24" t="s">
        <v>361</v>
      </c>
      <c r="U26" s="24" t="s">
        <v>239</v>
      </c>
      <c r="V26" s="24" t="s">
        <v>362</v>
      </c>
      <c r="W26" s="24" t="s">
        <v>240</v>
      </c>
      <c r="X26" t="str">
        <f t="shared" si="0"/>
        <v xml:space="preserve">// Row: Sd_n[5:0] = 010111
				{-3'sd1,  -3'sd1,  -3'sd1,  3'sd1} : sdn_recovered = {3'b000, 6'b010111}; // Col [000]
				{-3'sd1,  -3'sd1,  -3'sd2,  3'sd0} : sdn_recovered = {3'b010, 6'b010111}; // Col [010]
				{-3'sd1,  -3'sd2,  -3'sd2,  3'sd1} : sdn_recovered = {3'b100, 6'b010111}; // Col [100]
				{-3'sd1,  -3'sd2,  -3'sd1,  3'sd0} : sdn_recovered = {3'b110, 6'b010111}; // Col [110]
</v>
      </c>
    </row>
    <row r="27" spans="1:24" x14ac:dyDescent="0.25">
      <c r="A27" s="1" t="s">
        <v>31</v>
      </c>
      <c r="B27" s="1" t="s">
        <v>206</v>
      </c>
      <c r="C27" s="10" t="s">
        <v>198</v>
      </c>
      <c r="D27" s="12" t="s">
        <v>207</v>
      </c>
      <c r="E27" s="1" t="s">
        <v>207</v>
      </c>
      <c r="F27" s="1" t="s">
        <v>207</v>
      </c>
      <c r="G27" s="13" t="s">
        <v>210</v>
      </c>
      <c r="H27" s="12" t="s">
        <v>207</v>
      </c>
      <c r="I27" s="1" t="s">
        <v>207</v>
      </c>
      <c r="J27" s="1" t="s">
        <v>204</v>
      </c>
      <c r="K27" s="13" t="s">
        <v>208</v>
      </c>
      <c r="L27" s="12" t="s">
        <v>207</v>
      </c>
      <c r="M27" s="1" t="s">
        <v>204</v>
      </c>
      <c r="N27" s="1" t="s">
        <v>204</v>
      </c>
      <c r="O27" s="13" t="s">
        <v>210</v>
      </c>
      <c r="P27" s="12" t="s">
        <v>207</v>
      </c>
      <c r="Q27" s="1" t="s">
        <v>204</v>
      </c>
      <c r="R27" s="1" t="s">
        <v>207</v>
      </c>
      <c r="S27" s="13" t="s">
        <v>208</v>
      </c>
      <c r="T27" s="24" t="s">
        <v>363</v>
      </c>
      <c r="U27" s="24" t="s">
        <v>364</v>
      </c>
      <c r="V27" s="24" t="s">
        <v>365</v>
      </c>
      <c r="W27" s="24" t="s">
        <v>366</v>
      </c>
      <c r="X27" t="str">
        <f t="shared" si="0"/>
        <v xml:space="preserve">// Row: Sd_n[5:0] = 011000
				{3'sd1,  3'sd1,  3'sd1,  -3'sd1} : sdn_recovered = {3'b000, 6'b011000}; // Col [000]
				{3'sd1,  3'sd1,  3'sd0,  -3'sd2} : sdn_recovered = {3'b010, 6'b011000}; // Col [010]
				{3'sd1,  3'sd0,  3'sd0,  -3'sd1} : sdn_recovered = {3'b100, 6'b011000}; // Col [100]
				{3'sd1,  3'sd0,  3'sd1,  -3'sd2} : sdn_recovered = {3'b110, 6'b011000}; // Col [110]
</v>
      </c>
    </row>
    <row r="28" spans="1:24" x14ac:dyDescent="0.25">
      <c r="A28" s="1" t="s">
        <v>32</v>
      </c>
      <c r="B28" s="1" t="s">
        <v>206</v>
      </c>
      <c r="C28" s="10" t="s">
        <v>199</v>
      </c>
      <c r="D28" s="12" t="s">
        <v>210</v>
      </c>
      <c r="E28" s="1" t="s">
        <v>207</v>
      </c>
      <c r="F28" s="1" t="s">
        <v>207</v>
      </c>
      <c r="G28" s="13" t="s">
        <v>210</v>
      </c>
      <c r="H28" s="12" t="s">
        <v>210</v>
      </c>
      <c r="I28" s="1" t="s">
        <v>207</v>
      </c>
      <c r="J28" s="1" t="s">
        <v>204</v>
      </c>
      <c r="K28" s="13" t="s">
        <v>208</v>
      </c>
      <c r="L28" s="12" t="s">
        <v>210</v>
      </c>
      <c r="M28" s="1" t="s">
        <v>204</v>
      </c>
      <c r="N28" s="1" t="s">
        <v>204</v>
      </c>
      <c r="O28" s="13" t="s">
        <v>210</v>
      </c>
      <c r="P28" s="12" t="s">
        <v>210</v>
      </c>
      <c r="Q28" s="1" t="s">
        <v>204</v>
      </c>
      <c r="R28" s="1" t="s">
        <v>207</v>
      </c>
      <c r="S28" s="13" t="s">
        <v>208</v>
      </c>
      <c r="T28" s="24" t="s">
        <v>367</v>
      </c>
      <c r="U28" s="24" t="s">
        <v>368</v>
      </c>
      <c r="V28" s="24" t="s">
        <v>241</v>
      </c>
      <c r="W28" s="24" t="s">
        <v>369</v>
      </c>
      <c r="X28" t="str">
        <f t="shared" si="0"/>
        <v xml:space="preserve">// Row: Sd_n[5:0] = 011001
				{-3'sd1,  3'sd1,  3'sd1,  -3'sd1} : sdn_recovered = {3'b000, 6'b011001}; // Col [000]
				{-3'sd1,  3'sd1,  3'sd0,  -3'sd2} : sdn_recovered = {3'b010, 6'b011001}; // Col [010]
				{-3'sd1,  3'sd0,  3'sd0,  -3'sd1} : sdn_recovered = {3'b100, 6'b011001}; // Col [100]
				{-3'sd1,  3'sd0,  3'sd1,  -3'sd2} : sdn_recovered = {3'b110, 6'b011001}; // Col [110]
</v>
      </c>
    </row>
    <row r="29" spans="1:24" x14ac:dyDescent="0.25">
      <c r="A29" s="1" t="s">
        <v>33</v>
      </c>
      <c r="B29" s="1" t="s">
        <v>206</v>
      </c>
      <c r="C29" s="10" t="s">
        <v>200</v>
      </c>
      <c r="D29" s="12" t="s">
        <v>207</v>
      </c>
      <c r="E29" s="1" t="s">
        <v>210</v>
      </c>
      <c r="F29" s="1" t="s">
        <v>207</v>
      </c>
      <c r="G29" s="13" t="s">
        <v>210</v>
      </c>
      <c r="H29" s="12" t="s">
        <v>207</v>
      </c>
      <c r="I29" s="1" t="s">
        <v>210</v>
      </c>
      <c r="J29" s="1" t="s">
        <v>204</v>
      </c>
      <c r="K29" s="13" t="s">
        <v>208</v>
      </c>
      <c r="L29" s="12" t="s">
        <v>207</v>
      </c>
      <c r="M29" s="1" t="s">
        <v>208</v>
      </c>
      <c r="N29" s="1" t="s">
        <v>204</v>
      </c>
      <c r="O29" s="13" t="s">
        <v>210</v>
      </c>
      <c r="P29" s="12" t="s">
        <v>207</v>
      </c>
      <c r="Q29" s="1" t="s">
        <v>208</v>
      </c>
      <c r="R29" s="1" t="s">
        <v>207</v>
      </c>
      <c r="S29" s="13" t="s">
        <v>208</v>
      </c>
      <c r="T29" s="24" t="s">
        <v>370</v>
      </c>
      <c r="U29" s="24" t="s">
        <v>371</v>
      </c>
      <c r="V29" s="24" t="s">
        <v>372</v>
      </c>
      <c r="W29" s="24" t="s">
        <v>373</v>
      </c>
      <c r="X29" t="str">
        <f t="shared" si="0"/>
        <v xml:space="preserve">// Row: Sd_n[5:0] = 011010
				{3'sd1,  -3'sd1,  3'sd1,  -3'sd1} : sdn_recovered = {3'b000, 6'b011010}; // Col [000]
				{3'sd1,  -3'sd1,  3'sd0,  -3'sd2} : sdn_recovered = {3'b010, 6'b011010}; // Col [010]
				{3'sd1,  -3'sd2,  3'sd0,  -3'sd1} : sdn_recovered = {3'b100, 6'b011010}; // Col [100]
				{3'sd1,  -3'sd2,  3'sd1,  -3'sd2} : sdn_recovered = {3'b110, 6'b011010}; // Col [110]
</v>
      </c>
    </row>
    <row r="30" spans="1:24" x14ac:dyDescent="0.25">
      <c r="A30" s="1" t="s">
        <v>34</v>
      </c>
      <c r="B30" s="1" t="s">
        <v>206</v>
      </c>
      <c r="C30" s="10" t="s">
        <v>201</v>
      </c>
      <c r="D30" s="12" t="s">
        <v>210</v>
      </c>
      <c r="E30" s="1" t="s">
        <v>210</v>
      </c>
      <c r="F30" s="1" t="s">
        <v>207</v>
      </c>
      <c r="G30" s="13" t="s">
        <v>210</v>
      </c>
      <c r="H30" s="12" t="s">
        <v>210</v>
      </c>
      <c r="I30" s="1" t="s">
        <v>210</v>
      </c>
      <c r="J30" s="1" t="s">
        <v>204</v>
      </c>
      <c r="K30" s="13" t="s">
        <v>208</v>
      </c>
      <c r="L30" s="12" t="s">
        <v>210</v>
      </c>
      <c r="M30" s="1" t="s">
        <v>208</v>
      </c>
      <c r="N30" s="1" t="s">
        <v>204</v>
      </c>
      <c r="O30" s="13" t="s">
        <v>210</v>
      </c>
      <c r="P30" s="12" t="s">
        <v>210</v>
      </c>
      <c r="Q30" s="1" t="s">
        <v>208</v>
      </c>
      <c r="R30" s="1" t="s">
        <v>207</v>
      </c>
      <c r="S30" s="13" t="s">
        <v>208</v>
      </c>
      <c r="T30" s="24" t="s">
        <v>374</v>
      </c>
      <c r="U30" s="24" t="s">
        <v>242</v>
      </c>
      <c r="V30" s="24" t="s">
        <v>243</v>
      </c>
      <c r="W30" s="24" t="s">
        <v>375</v>
      </c>
      <c r="X30" t="str">
        <f t="shared" si="0"/>
        <v xml:space="preserve">// Row: Sd_n[5:0] = 011011
				{-3'sd1,  -3'sd1,  3'sd1,  -3'sd1} : sdn_recovered = {3'b000, 6'b011011}; // Col [000]
				{-3'sd1,  -3'sd1,  3'sd0,  -3'sd2} : sdn_recovered = {3'b010, 6'b011011}; // Col [010]
				{-3'sd1,  -3'sd2,  3'sd0,  -3'sd1} : sdn_recovered = {3'b100, 6'b011011}; // Col [100]
				{-3'sd1,  -3'sd2,  3'sd1,  -3'sd2} : sdn_recovered = {3'b110, 6'b011011}; // Col [110]
</v>
      </c>
    </row>
    <row r="31" spans="1:24" x14ac:dyDescent="0.25">
      <c r="A31" s="1" t="s">
        <v>35</v>
      </c>
      <c r="B31" s="1" t="s">
        <v>206</v>
      </c>
      <c r="C31" s="10" t="s">
        <v>202</v>
      </c>
      <c r="D31" s="12" t="s">
        <v>207</v>
      </c>
      <c r="E31" s="1" t="s">
        <v>207</v>
      </c>
      <c r="F31" s="1" t="s">
        <v>210</v>
      </c>
      <c r="G31" s="13" t="s">
        <v>210</v>
      </c>
      <c r="H31" s="12" t="s">
        <v>207</v>
      </c>
      <c r="I31" s="1" t="s">
        <v>207</v>
      </c>
      <c r="J31" s="1" t="s">
        <v>208</v>
      </c>
      <c r="K31" s="13" t="s">
        <v>208</v>
      </c>
      <c r="L31" s="12" t="s">
        <v>207</v>
      </c>
      <c r="M31" s="1" t="s">
        <v>204</v>
      </c>
      <c r="N31" s="1" t="s">
        <v>208</v>
      </c>
      <c r="O31" s="13" t="s">
        <v>210</v>
      </c>
      <c r="P31" s="12" t="s">
        <v>207</v>
      </c>
      <c r="Q31" s="1" t="s">
        <v>204</v>
      </c>
      <c r="R31" s="1" t="s">
        <v>210</v>
      </c>
      <c r="S31" s="13" t="s">
        <v>208</v>
      </c>
      <c r="T31" s="24" t="s">
        <v>376</v>
      </c>
      <c r="U31" s="24" t="s">
        <v>377</v>
      </c>
      <c r="V31" s="24" t="s">
        <v>378</v>
      </c>
      <c r="W31" s="24" t="s">
        <v>379</v>
      </c>
      <c r="X31" t="str">
        <f t="shared" si="0"/>
        <v xml:space="preserve">// Row: Sd_n[5:0] = 011100
				{3'sd1,  3'sd1,  -3'sd1,  -3'sd1} : sdn_recovered = {3'b000, 6'b011100}; // Col [000]
				{3'sd1,  3'sd1,  -3'sd2,  -3'sd2} : sdn_recovered = {3'b010, 6'b011100}; // Col [010]
				{3'sd1,  3'sd0,  -3'sd2,  -3'sd1} : sdn_recovered = {3'b100, 6'b011100}; // Col [100]
				{3'sd1,  3'sd0,  -3'sd1,  -3'sd2} : sdn_recovered = {3'b110, 6'b011100}; // Col [110]
</v>
      </c>
    </row>
    <row r="32" spans="1:24" x14ac:dyDescent="0.25">
      <c r="A32" s="1" t="s">
        <v>36</v>
      </c>
      <c r="B32" s="1" t="s">
        <v>206</v>
      </c>
      <c r="C32" s="10" t="s">
        <v>203</v>
      </c>
      <c r="D32" s="12" t="s">
        <v>210</v>
      </c>
      <c r="E32" s="1" t="s">
        <v>207</v>
      </c>
      <c r="F32" s="1" t="s">
        <v>210</v>
      </c>
      <c r="G32" s="13" t="s">
        <v>210</v>
      </c>
      <c r="H32" s="12" t="s">
        <v>210</v>
      </c>
      <c r="I32" s="1" t="s">
        <v>207</v>
      </c>
      <c r="J32" s="1" t="s">
        <v>208</v>
      </c>
      <c r="K32" s="13" t="s">
        <v>208</v>
      </c>
      <c r="L32" s="12" t="s">
        <v>210</v>
      </c>
      <c r="M32" s="1" t="s">
        <v>204</v>
      </c>
      <c r="N32" s="1" t="s">
        <v>208</v>
      </c>
      <c r="O32" s="13" t="s">
        <v>210</v>
      </c>
      <c r="P32" s="12" t="s">
        <v>210</v>
      </c>
      <c r="Q32" s="1" t="s">
        <v>204</v>
      </c>
      <c r="R32" s="1" t="s">
        <v>210</v>
      </c>
      <c r="S32" s="13" t="s">
        <v>208</v>
      </c>
      <c r="T32" s="24" t="s">
        <v>380</v>
      </c>
      <c r="U32" s="24" t="s">
        <v>381</v>
      </c>
      <c r="V32" s="24" t="s">
        <v>244</v>
      </c>
      <c r="W32" s="24" t="s">
        <v>245</v>
      </c>
      <c r="X32" t="str">
        <f t="shared" si="0"/>
        <v xml:space="preserve">// Row: Sd_n[5:0] = 011101
				{-3'sd1,  3'sd1,  -3'sd1,  -3'sd1} : sdn_recovered = {3'b000, 6'b011101}; // Col [000]
				{-3'sd1,  3'sd1,  -3'sd2,  -3'sd2} : sdn_recovered = {3'b010, 6'b011101}; // Col [010]
				{-3'sd1,  3'sd0,  -3'sd2,  -3'sd1} : sdn_recovered = {3'b100, 6'b011101}; // Col [100]
				{-3'sd1,  3'sd0,  -3'sd1,  -3'sd2} : sdn_recovered = {3'b110, 6'b011101}; // Col [110]
</v>
      </c>
    </row>
    <row r="33" spans="1:24" x14ac:dyDescent="0.25">
      <c r="A33" s="1" t="s">
        <v>37</v>
      </c>
      <c r="B33" s="1" t="s">
        <v>206</v>
      </c>
      <c r="C33" s="10" t="s">
        <v>246</v>
      </c>
      <c r="D33" s="12" t="s">
        <v>207</v>
      </c>
      <c r="E33" s="1" t="s">
        <v>210</v>
      </c>
      <c r="F33" s="1" t="s">
        <v>210</v>
      </c>
      <c r="G33" s="13" t="s">
        <v>210</v>
      </c>
      <c r="H33" s="12" t="s">
        <v>207</v>
      </c>
      <c r="I33" s="1" t="s">
        <v>210</v>
      </c>
      <c r="J33" s="1" t="s">
        <v>208</v>
      </c>
      <c r="K33" s="13" t="s">
        <v>208</v>
      </c>
      <c r="L33" s="12" t="s">
        <v>207</v>
      </c>
      <c r="M33" s="1" t="s">
        <v>208</v>
      </c>
      <c r="N33" s="1" t="s">
        <v>208</v>
      </c>
      <c r="O33" s="13" t="s">
        <v>210</v>
      </c>
      <c r="P33" s="12" t="s">
        <v>207</v>
      </c>
      <c r="Q33" s="1" t="s">
        <v>208</v>
      </c>
      <c r="R33" s="1" t="s">
        <v>210</v>
      </c>
      <c r="S33" s="13" t="s">
        <v>208</v>
      </c>
      <c r="T33" s="24" t="s">
        <v>382</v>
      </c>
      <c r="U33" s="24" t="s">
        <v>383</v>
      </c>
      <c r="V33" s="24" t="s">
        <v>384</v>
      </c>
      <c r="W33" s="24" t="s">
        <v>385</v>
      </c>
      <c r="X33" t="str">
        <f t="shared" si="0"/>
        <v xml:space="preserve">// Row: Sd_n[5:0] = 011110
				{3'sd1,  -3'sd1,  -3'sd1,  -3'sd1} : sdn_recovered = {3'b000, 6'b011110}; // Col [000]
				{3'sd1,  -3'sd1,  -3'sd2,  -3'sd2} : sdn_recovered = {3'b010, 6'b011110}; // Col [010]
				{3'sd1,  -3'sd2,  -3'sd2,  -3'sd1} : sdn_recovered = {3'b100, 6'b011110}; // Col [100]
				{3'sd1,  -3'sd2,  -3'sd1,  -3'sd2} : sdn_recovered = {3'b110, 6'b011110}; // Col [110]
</v>
      </c>
    </row>
    <row r="34" spans="1:24" x14ac:dyDescent="0.25">
      <c r="A34" s="1" t="s">
        <v>38</v>
      </c>
      <c r="B34" s="1" t="s">
        <v>206</v>
      </c>
      <c r="C34" s="10" t="s">
        <v>247</v>
      </c>
      <c r="D34" s="12" t="s">
        <v>210</v>
      </c>
      <c r="E34" s="1" t="s">
        <v>210</v>
      </c>
      <c r="F34" s="1" t="s">
        <v>210</v>
      </c>
      <c r="G34" s="13" t="s">
        <v>210</v>
      </c>
      <c r="H34" s="12" t="s">
        <v>210</v>
      </c>
      <c r="I34" s="1" t="s">
        <v>210</v>
      </c>
      <c r="J34" s="1" t="s">
        <v>208</v>
      </c>
      <c r="K34" s="13" t="s">
        <v>208</v>
      </c>
      <c r="L34" s="12" t="s">
        <v>210</v>
      </c>
      <c r="M34" s="1" t="s">
        <v>208</v>
      </c>
      <c r="N34" s="1" t="s">
        <v>208</v>
      </c>
      <c r="O34" s="13" t="s">
        <v>210</v>
      </c>
      <c r="P34" s="12" t="s">
        <v>210</v>
      </c>
      <c r="Q34" s="1" t="s">
        <v>208</v>
      </c>
      <c r="R34" s="1" t="s">
        <v>210</v>
      </c>
      <c r="S34" s="13" t="s">
        <v>208</v>
      </c>
      <c r="T34" s="24" t="s">
        <v>248</v>
      </c>
      <c r="U34" s="24" t="s">
        <v>249</v>
      </c>
      <c r="V34" s="24" t="s">
        <v>250</v>
      </c>
      <c r="W34" s="24" t="s">
        <v>251</v>
      </c>
      <c r="X34" t="str">
        <f t="shared" si="0"/>
        <v xml:space="preserve">// Row: Sd_n[5:0] = 011111
				{-3'sd1,  -3'sd1,  -3'sd1,  -3'sd1} : sdn_recovered = {3'b000, 6'b011111}; // Col [000]
				{-3'sd1,  -3'sd1,  -3'sd2,  -3'sd2} : sdn_recovered = {3'b010, 6'b011111}; // Col [010]
				{-3'sd1,  -3'sd2,  -3'sd2,  -3'sd1} : sdn_recovered = {3'b100, 6'b011111}; // Col [100]
				{-3'sd1,  -3'sd2,  -3'sd1,  -3'sd2} : sdn_recovered = {3'b110, 6'b011111}; // Col [110]
</v>
      </c>
    </row>
    <row r="35" spans="1:24" x14ac:dyDescent="0.25">
      <c r="A35" s="1" t="s">
        <v>39</v>
      </c>
      <c r="B35" s="1" t="s">
        <v>206</v>
      </c>
      <c r="C35" s="10" t="s">
        <v>252</v>
      </c>
      <c r="D35" s="12" t="s">
        <v>253</v>
      </c>
      <c r="E35" s="1" t="s">
        <v>204</v>
      </c>
      <c r="F35" s="1" t="s">
        <v>204</v>
      </c>
      <c r="G35" s="13" t="s">
        <v>204</v>
      </c>
      <c r="H35" s="12" t="s">
        <v>253</v>
      </c>
      <c r="I35" s="1" t="s">
        <v>204</v>
      </c>
      <c r="J35" s="1" t="s">
        <v>207</v>
      </c>
      <c r="K35" s="13" t="s">
        <v>207</v>
      </c>
      <c r="L35" s="12" t="s">
        <v>253</v>
      </c>
      <c r="M35" s="1" t="s">
        <v>207</v>
      </c>
      <c r="N35" s="1" t="s">
        <v>207</v>
      </c>
      <c r="O35" s="13" t="s">
        <v>204</v>
      </c>
      <c r="P35" s="12" t="s">
        <v>253</v>
      </c>
      <c r="Q35" s="1" t="s">
        <v>207</v>
      </c>
      <c r="R35" s="1" t="s">
        <v>204</v>
      </c>
      <c r="S35" s="13" t="s">
        <v>207</v>
      </c>
      <c r="T35" s="24" t="s">
        <v>386</v>
      </c>
      <c r="U35" s="24" t="s">
        <v>387</v>
      </c>
      <c r="V35" s="24" t="s">
        <v>388</v>
      </c>
      <c r="W35" s="24" t="s">
        <v>389</v>
      </c>
      <c r="X35" t="str">
        <f t="shared" si="0"/>
        <v xml:space="preserve">// Row: Sd_n[5:0] = 100000
				{3'sd2,  3'sd0,  3'sd0,  3'sd0} : sdn_recovered = {3'b000, 6'b100000}; // Col [000]
				{3'sd2,  3'sd0,  3'sd1,  3'sd1} : sdn_recovered = {3'b010, 6'b100000}; // Col [010]
				{3'sd2,  3'sd1,  3'sd1,  3'sd0} : sdn_recovered = {3'b100, 6'b100000}; // Col [100]
				{3'sd2,  3'sd1,  3'sd0,  3'sd1} : sdn_recovered = {3'b110, 6'b100000}; // Col [110]
</v>
      </c>
    </row>
    <row r="36" spans="1:24" x14ac:dyDescent="0.25">
      <c r="A36" s="1" t="s">
        <v>40</v>
      </c>
      <c r="B36" s="1" t="s">
        <v>206</v>
      </c>
      <c r="C36" s="10" t="s">
        <v>254</v>
      </c>
      <c r="D36" s="12" t="s">
        <v>253</v>
      </c>
      <c r="E36" s="1" t="s">
        <v>208</v>
      </c>
      <c r="F36" s="1" t="s">
        <v>204</v>
      </c>
      <c r="G36" s="13" t="s">
        <v>204</v>
      </c>
      <c r="H36" s="12" t="s">
        <v>253</v>
      </c>
      <c r="I36" s="1" t="s">
        <v>208</v>
      </c>
      <c r="J36" s="1" t="s">
        <v>207</v>
      </c>
      <c r="K36" s="13" t="s">
        <v>207</v>
      </c>
      <c r="L36" s="12" t="s">
        <v>253</v>
      </c>
      <c r="M36" s="1" t="s">
        <v>210</v>
      </c>
      <c r="N36" s="1" t="s">
        <v>207</v>
      </c>
      <c r="O36" s="13" t="s">
        <v>204</v>
      </c>
      <c r="P36" s="12" t="s">
        <v>253</v>
      </c>
      <c r="Q36" s="1" t="s">
        <v>210</v>
      </c>
      <c r="R36" s="1" t="s">
        <v>204</v>
      </c>
      <c r="S36" s="13" t="s">
        <v>207</v>
      </c>
      <c r="T36" s="24" t="s">
        <v>390</v>
      </c>
      <c r="U36" s="24" t="s">
        <v>391</v>
      </c>
      <c r="V36" s="24" t="s">
        <v>392</v>
      </c>
      <c r="W36" s="24" t="s">
        <v>393</v>
      </c>
      <c r="X36" t="str">
        <f t="shared" si="0"/>
        <v xml:space="preserve">// Row: Sd_n[5:0] = 100001
				{3'sd2,  -3'sd2,  3'sd0,  3'sd0} : sdn_recovered = {3'b000, 6'b100001}; // Col [000]
				{3'sd2,  -3'sd2,  3'sd1,  3'sd1} : sdn_recovered = {3'b010, 6'b100001}; // Col [010]
				{3'sd2,  -3'sd1,  3'sd1,  3'sd0} : sdn_recovered = {3'b100, 6'b100001}; // Col [100]
				{3'sd2,  -3'sd1,  3'sd0,  3'sd1} : sdn_recovered = {3'b110, 6'b100001}; // Col [110]
</v>
      </c>
    </row>
    <row r="37" spans="1:24" x14ac:dyDescent="0.25">
      <c r="A37" s="1" t="s">
        <v>41</v>
      </c>
      <c r="B37" s="1" t="s">
        <v>206</v>
      </c>
      <c r="C37" s="10" t="s">
        <v>255</v>
      </c>
      <c r="D37" s="12" t="s">
        <v>253</v>
      </c>
      <c r="E37" s="1" t="s">
        <v>204</v>
      </c>
      <c r="F37" s="1" t="s">
        <v>208</v>
      </c>
      <c r="G37" s="13" t="s">
        <v>204</v>
      </c>
      <c r="H37" s="12" t="s">
        <v>253</v>
      </c>
      <c r="I37" s="1" t="s">
        <v>204</v>
      </c>
      <c r="J37" s="1" t="s">
        <v>210</v>
      </c>
      <c r="K37" s="13" t="s">
        <v>207</v>
      </c>
      <c r="L37" s="12" t="s">
        <v>253</v>
      </c>
      <c r="M37" s="1" t="s">
        <v>207</v>
      </c>
      <c r="N37" s="1" t="s">
        <v>210</v>
      </c>
      <c r="O37" s="13" t="s">
        <v>204</v>
      </c>
      <c r="P37" s="12" t="s">
        <v>253</v>
      </c>
      <c r="Q37" s="1" t="s">
        <v>207</v>
      </c>
      <c r="R37" s="1" t="s">
        <v>208</v>
      </c>
      <c r="S37" s="13" t="s">
        <v>207</v>
      </c>
      <c r="T37" s="24" t="s">
        <v>394</v>
      </c>
      <c r="U37" s="24" t="s">
        <v>395</v>
      </c>
      <c r="V37" s="24" t="s">
        <v>396</v>
      </c>
      <c r="W37" s="24" t="s">
        <v>397</v>
      </c>
      <c r="X37" t="str">
        <f t="shared" si="0"/>
        <v xml:space="preserve">// Row: Sd_n[5:0] = 100010
				{3'sd2,  3'sd0,  -3'sd2,  3'sd0} : sdn_recovered = {3'b000, 6'b100010}; // Col [000]
				{3'sd2,  3'sd0,  -3'sd1,  3'sd1} : sdn_recovered = {3'b010, 6'b100010}; // Col [010]
				{3'sd2,  3'sd1,  -3'sd1,  3'sd0} : sdn_recovered = {3'b100, 6'b100010}; // Col [100]
				{3'sd2,  3'sd1,  -3'sd2,  3'sd1} : sdn_recovered = {3'b110, 6'b100010}; // Col [110]
</v>
      </c>
    </row>
    <row r="38" spans="1:24" x14ac:dyDescent="0.25">
      <c r="A38" s="1" t="s">
        <v>42</v>
      </c>
      <c r="B38" s="1" t="s">
        <v>206</v>
      </c>
      <c r="C38" s="10" t="s">
        <v>256</v>
      </c>
      <c r="D38" s="12" t="s">
        <v>253</v>
      </c>
      <c r="E38" s="1" t="s">
        <v>208</v>
      </c>
      <c r="F38" s="1" t="s">
        <v>208</v>
      </c>
      <c r="G38" s="13" t="s">
        <v>204</v>
      </c>
      <c r="H38" s="12" t="s">
        <v>253</v>
      </c>
      <c r="I38" s="1" t="s">
        <v>208</v>
      </c>
      <c r="J38" s="1" t="s">
        <v>210</v>
      </c>
      <c r="K38" s="13" t="s">
        <v>207</v>
      </c>
      <c r="L38" s="12" t="s">
        <v>253</v>
      </c>
      <c r="M38" s="1" t="s">
        <v>210</v>
      </c>
      <c r="N38" s="1" t="s">
        <v>210</v>
      </c>
      <c r="O38" s="13" t="s">
        <v>204</v>
      </c>
      <c r="P38" s="12" t="s">
        <v>253</v>
      </c>
      <c r="Q38" s="1" t="s">
        <v>210</v>
      </c>
      <c r="R38" s="1" t="s">
        <v>208</v>
      </c>
      <c r="S38" s="13" t="s">
        <v>207</v>
      </c>
      <c r="T38" s="24" t="s">
        <v>398</v>
      </c>
      <c r="U38" s="24" t="s">
        <v>399</v>
      </c>
      <c r="V38" s="24" t="s">
        <v>400</v>
      </c>
      <c r="W38" s="24" t="s">
        <v>401</v>
      </c>
      <c r="X38" t="str">
        <f t="shared" si="0"/>
        <v xml:space="preserve">// Row: Sd_n[5:0] = 100011
				{3'sd2,  -3'sd2,  -3'sd2,  3'sd0} : sdn_recovered = {3'b000, 6'b100011}; // Col [000]
				{3'sd2,  -3'sd2,  -3'sd1,  3'sd1} : sdn_recovered = {3'b010, 6'b100011}; // Col [010]
				{3'sd2,  -3'sd1,  -3'sd1,  3'sd0} : sdn_recovered = {3'b100, 6'b100011}; // Col [100]
				{3'sd2,  -3'sd1,  -3'sd2,  3'sd1} : sdn_recovered = {3'b110, 6'b100011}; // Col [110]
</v>
      </c>
    </row>
    <row r="39" spans="1:24" x14ac:dyDescent="0.25">
      <c r="A39" s="1" t="s">
        <v>43</v>
      </c>
      <c r="B39" s="1" t="s">
        <v>206</v>
      </c>
      <c r="C39" s="10" t="s">
        <v>257</v>
      </c>
      <c r="D39" s="12" t="s">
        <v>253</v>
      </c>
      <c r="E39" s="1" t="s">
        <v>204</v>
      </c>
      <c r="F39" s="1" t="s">
        <v>204</v>
      </c>
      <c r="G39" s="13" t="s">
        <v>208</v>
      </c>
      <c r="H39" s="12" t="s">
        <v>253</v>
      </c>
      <c r="I39" s="1" t="s">
        <v>204</v>
      </c>
      <c r="J39" s="1" t="s">
        <v>207</v>
      </c>
      <c r="K39" s="13" t="s">
        <v>210</v>
      </c>
      <c r="L39" s="12" t="s">
        <v>253</v>
      </c>
      <c r="M39" s="1" t="s">
        <v>207</v>
      </c>
      <c r="N39" s="1" t="s">
        <v>207</v>
      </c>
      <c r="O39" s="13" t="s">
        <v>208</v>
      </c>
      <c r="P39" s="12" t="s">
        <v>253</v>
      </c>
      <c r="Q39" s="1" t="s">
        <v>207</v>
      </c>
      <c r="R39" s="1" t="s">
        <v>204</v>
      </c>
      <c r="S39" s="13" t="s">
        <v>210</v>
      </c>
      <c r="T39" s="24" t="s">
        <v>402</v>
      </c>
      <c r="U39" s="24" t="s">
        <v>403</v>
      </c>
      <c r="V39" s="24" t="s">
        <v>404</v>
      </c>
      <c r="W39" s="24" t="s">
        <v>405</v>
      </c>
      <c r="X39" t="str">
        <f t="shared" si="0"/>
        <v xml:space="preserve">// Row: Sd_n[5:0] = 100100
				{3'sd2,  3'sd0,  3'sd0,  -3'sd2} : sdn_recovered = {3'b000, 6'b100100}; // Col [000]
				{3'sd2,  3'sd0,  3'sd1,  -3'sd1} : sdn_recovered = {3'b010, 6'b100100}; // Col [010]
				{3'sd2,  3'sd1,  3'sd1,  -3'sd2} : sdn_recovered = {3'b100, 6'b100100}; // Col [100]
				{3'sd2,  3'sd1,  3'sd0,  -3'sd1} : sdn_recovered = {3'b110, 6'b100100}; // Col [110]
</v>
      </c>
    </row>
    <row r="40" spans="1:24" x14ac:dyDescent="0.25">
      <c r="A40" s="1" t="s">
        <v>44</v>
      </c>
      <c r="B40" s="1" t="s">
        <v>206</v>
      </c>
      <c r="C40" s="10" t="s">
        <v>258</v>
      </c>
      <c r="D40" s="12" t="s">
        <v>253</v>
      </c>
      <c r="E40" s="1" t="s">
        <v>208</v>
      </c>
      <c r="F40" s="1" t="s">
        <v>204</v>
      </c>
      <c r="G40" s="13" t="s">
        <v>208</v>
      </c>
      <c r="H40" s="12" t="s">
        <v>253</v>
      </c>
      <c r="I40" s="1" t="s">
        <v>208</v>
      </c>
      <c r="J40" s="1" t="s">
        <v>207</v>
      </c>
      <c r="K40" s="13" t="s">
        <v>210</v>
      </c>
      <c r="L40" s="12" t="s">
        <v>253</v>
      </c>
      <c r="M40" s="1" t="s">
        <v>210</v>
      </c>
      <c r="N40" s="1" t="s">
        <v>207</v>
      </c>
      <c r="O40" s="13" t="s">
        <v>208</v>
      </c>
      <c r="P40" s="12" t="s">
        <v>253</v>
      </c>
      <c r="Q40" s="1" t="s">
        <v>210</v>
      </c>
      <c r="R40" s="1" t="s">
        <v>204</v>
      </c>
      <c r="S40" s="13" t="s">
        <v>210</v>
      </c>
      <c r="T40" s="24" t="s">
        <v>406</v>
      </c>
      <c r="U40" s="24" t="s">
        <v>407</v>
      </c>
      <c r="V40" s="24" t="s">
        <v>408</v>
      </c>
      <c r="W40" s="24" t="s">
        <v>409</v>
      </c>
      <c r="X40" t="str">
        <f t="shared" si="0"/>
        <v xml:space="preserve">// Row: Sd_n[5:0] = 100101
				{3'sd2,  -3'sd2,  3'sd0,  -3'sd2} : sdn_recovered = {3'b000, 6'b100101}; // Col [000]
				{3'sd2,  -3'sd2,  3'sd1,  -3'sd1} : sdn_recovered = {3'b010, 6'b100101}; // Col [010]
				{3'sd2,  -3'sd1,  3'sd1,  -3'sd2} : sdn_recovered = {3'b100, 6'b100101}; // Col [100]
				{3'sd2,  -3'sd1,  3'sd0,  -3'sd1} : sdn_recovered = {3'b110, 6'b100101}; // Col [110]
</v>
      </c>
    </row>
    <row r="41" spans="1:24" x14ac:dyDescent="0.25">
      <c r="A41" s="1" t="s">
        <v>45</v>
      </c>
      <c r="B41" s="1" t="s">
        <v>206</v>
      </c>
      <c r="C41" s="10" t="s">
        <v>259</v>
      </c>
      <c r="D41" s="12" t="s">
        <v>253</v>
      </c>
      <c r="E41" s="1" t="s">
        <v>204</v>
      </c>
      <c r="F41" s="1" t="s">
        <v>208</v>
      </c>
      <c r="G41" s="13" t="s">
        <v>208</v>
      </c>
      <c r="H41" s="12" t="s">
        <v>253</v>
      </c>
      <c r="I41" s="1" t="s">
        <v>204</v>
      </c>
      <c r="J41" s="1" t="s">
        <v>210</v>
      </c>
      <c r="K41" s="13" t="s">
        <v>210</v>
      </c>
      <c r="L41" s="12" t="s">
        <v>253</v>
      </c>
      <c r="M41" s="1" t="s">
        <v>207</v>
      </c>
      <c r="N41" s="1" t="s">
        <v>210</v>
      </c>
      <c r="O41" s="13" t="s">
        <v>208</v>
      </c>
      <c r="P41" s="12" t="s">
        <v>253</v>
      </c>
      <c r="Q41" s="1" t="s">
        <v>207</v>
      </c>
      <c r="R41" s="1" t="s">
        <v>208</v>
      </c>
      <c r="S41" s="13" t="s">
        <v>210</v>
      </c>
      <c r="T41" s="24" t="s">
        <v>410</v>
      </c>
      <c r="U41" s="24" t="s">
        <v>411</v>
      </c>
      <c r="V41" s="24" t="s">
        <v>412</v>
      </c>
      <c r="W41" s="24" t="s">
        <v>413</v>
      </c>
      <c r="X41" t="str">
        <f t="shared" si="0"/>
        <v xml:space="preserve">// Row: Sd_n[5:0] = 100110
				{3'sd2,  3'sd0,  -3'sd2,  -3'sd2} : sdn_recovered = {3'b000, 6'b100110}; // Col [000]
				{3'sd2,  3'sd0,  -3'sd1,  -3'sd1} : sdn_recovered = {3'b010, 6'b100110}; // Col [010]
				{3'sd2,  3'sd1,  -3'sd1,  -3'sd2} : sdn_recovered = {3'b100, 6'b100110}; // Col [100]
				{3'sd2,  3'sd1,  -3'sd2,  -3'sd1} : sdn_recovered = {3'b110, 6'b100110}; // Col [110]
</v>
      </c>
    </row>
    <row r="42" spans="1:24" x14ac:dyDescent="0.25">
      <c r="A42" s="1" t="s">
        <v>46</v>
      </c>
      <c r="B42" s="1" t="s">
        <v>206</v>
      </c>
      <c r="C42" s="10" t="s">
        <v>260</v>
      </c>
      <c r="D42" s="12" t="s">
        <v>253</v>
      </c>
      <c r="E42" s="1" t="s">
        <v>208</v>
      </c>
      <c r="F42" s="1" t="s">
        <v>208</v>
      </c>
      <c r="G42" s="13" t="s">
        <v>208</v>
      </c>
      <c r="H42" s="12" t="s">
        <v>253</v>
      </c>
      <c r="I42" s="1" t="s">
        <v>208</v>
      </c>
      <c r="J42" s="1" t="s">
        <v>210</v>
      </c>
      <c r="K42" s="13" t="s">
        <v>210</v>
      </c>
      <c r="L42" s="12" t="s">
        <v>253</v>
      </c>
      <c r="M42" s="1" t="s">
        <v>210</v>
      </c>
      <c r="N42" s="1" t="s">
        <v>210</v>
      </c>
      <c r="O42" s="13" t="s">
        <v>208</v>
      </c>
      <c r="P42" s="12" t="s">
        <v>253</v>
      </c>
      <c r="Q42" s="1" t="s">
        <v>210</v>
      </c>
      <c r="R42" s="1" t="s">
        <v>208</v>
      </c>
      <c r="S42" s="13" t="s">
        <v>210</v>
      </c>
      <c r="T42" s="24" t="s">
        <v>414</v>
      </c>
      <c r="U42" s="24" t="s">
        <v>415</v>
      </c>
      <c r="V42" s="24" t="s">
        <v>416</v>
      </c>
      <c r="W42" s="24" t="s">
        <v>417</v>
      </c>
      <c r="X42" t="str">
        <f t="shared" si="0"/>
        <v xml:space="preserve">// Row: Sd_n[5:0] = 100111
				{3'sd2,  -3'sd2,  -3'sd2,  -3'sd2} : sdn_recovered = {3'b000, 6'b100111}; // Col [000]
				{3'sd2,  -3'sd2,  -3'sd1,  -3'sd1} : sdn_recovered = {3'b010, 6'b100111}; // Col [010]
				{3'sd2,  -3'sd1,  -3'sd1,  -3'sd2} : sdn_recovered = {3'b100, 6'b100111}; // Col [100]
				{3'sd2,  -3'sd1,  -3'sd2,  -3'sd1} : sdn_recovered = {3'b110, 6'b100111}; // Col [110]
</v>
      </c>
    </row>
    <row r="43" spans="1:24" x14ac:dyDescent="0.25">
      <c r="A43" s="1" t="s">
        <v>47</v>
      </c>
      <c r="B43" s="1" t="s">
        <v>206</v>
      </c>
      <c r="C43" s="10" t="s">
        <v>261</v>
      </c>
      <c r="D43" s="12" t="s">
        <v>204</v>
      </c>
      <c r="E43" s="1" t="s">
        <v>204</v>
      </c>
      <c r="F43" s="1" t="s">
        <v>253</v>
      </c>
      <c r="G43" s="13" t="s">
        <v>204</v>
      </c>
      <c r="H43" s="12" t="s">
        <v>207</v>
      </c>
      <c r="I43" s="1" t="s">
        <v>207</v>
      </c>
      <c r="J43" s="1" t="s">
        <v>253</v>
      </c>
      <c r="K43" s="13" t="s">
        <v>204</v>
      </c>
      <c r="L43" s="12" t="s">
        <v>207</v>
      </c>
      <c r="M43" s="1" t="s">
        <v>204</v>
      </c>
      <c r="N43" s="1" t="s">
        <v>253</v>
      </c>
      <c r="O43" s="13" t="s">
        <v>207</v>
      </c>
      <c r="P43" s="12" t="s">
        <v>204</v>
      </c>
      <c r="Q43" s="1" t="s">
        <v>207</v>
      </c>
      <c r="R43" s="1" t="s">
        <v>253</v>
      </c>
      <c r="S43" s="13" t="s">
        <v>207</v>
      </c>
      <c r="T43" s="24" t="s">
        <v>418</v>
      </c>
      <c r="U43" s="24" t="s">
        <v>419</v>
      </c>
      <c r="V43" s="24" t="s">
        <v>420</v>
      </c>
      <c r="W43" s="24" t="s">
        <v>421</v>
      </c>
      <c r="X43" t="str">
        <f t="shared" si="0"/>
        <v xml:space="preserve">// Row: Sd_n[5:0] = 101000
				{3'sd0,  3'sd0,  3'sd2,  3'sd0} : sdn_recovered = {3'b000, 6'b101000}; // Col [000]
				{3'sd1,  3'sd1,  3'sd2,  3'sd0} : sdn_recovered = {3'b010, 6'b101000}; // Col [010]
				{3'sd1,  3'sd0,  3'sd2,  3'sd1} : sdn_recovered = {3'b100, 6'b101000}; // Col [100]
				{3'sd0,  3'sd1,  3'sd2,  3'sd1} : sdn_recovered = {3'b110, 6'b101000}; // Col [110]
</v>
      </c>
    </row>
    <row r="44" spans="1:24" x14ac:dyDescent="0.25">
      <c r="A44" s="1" t="s">
        <v>48</v>
      </c>
      <c r="B44" s="1" t="s">
        <v>206</v>
      </c>
      <c r="C44" s="10" t="s">
        <v>262</v>
      </c>
      <c r="D44" s="12" t="s">
        <v>208</v>
      </c>
      <c r="E44" s="1" t="s">
        <v>204</v>
      </c>
      <c r="F44" s="1" t="s">
        <v>253</v>
      </c>
      <c r="G44" s="13" t="s">
        <v>204</v>
      </c>
      <c r="H44" s="12" t="s">
        <v>210</v>
      </c>
      <c r="I44" s="1" t="s">
        <v>207</v>
      </c>
      <c r="J44" s="1" t="s">
        <v>253</v>
      </c>
      <c r="K44" s="13" t="s">
        <v>204</v>
      </c>
      <c r="L44" s="12" t="s">
        <v>210</v>
      </c>
      <c r="M44" s="1" t="s">
        <v>204</v>
      </c>
      <c r="N44" s="1" t="s">
        <v>253</v>
      </c>
      <c r="O44" s="13" t="s">
        <v>207</v>
      </c>
      <c r="P44" s="12" t="s">
        <v>208</v>
      </c>
      <c r="Q44" s="1" t="s">
        <v>207</v>
      </c>
      <c r="R44" s="1" t="s">
        <v>253</v>
      </c>
      <c r="S44" s="13" t="s">
        <v>207</v>
      </c>
      <c r="T44" s="24" t="s">
        <v>422</v>
      </c>
      <c r="U44" s="24" t="s">
        <v>423</v>
      </c>
      <c r="V44" s="24" t="s">
        <v>424</v>
      </c>
      <c r="W44" s="24" t="s">
        <v>425</v>
      </c>
      <c r="X44" t="str">
        <f t="shared" si="0"/>
        <v xml:space="preserve">// Row: Sd_n[5:0] = 101001
				{-3'sd2,  3'sd0,  3'sd2,  3'sd0} : sdn_recovered = {3'b000, 6'b101001}; // Col [000]
				{-3'sd1,  3'sd1,  3'sd2,  3'sd0} : sdn_recovered = {3'b010, 6'b101001}; // Col [010]
				{-3'sd1,  3'sd0,  3'sd2,  3'sd1} : sdn_recovered = {3'b100, 6'b101001}; // Col [100]
				{-3'sd2,  3'sd1,  3'sd2,  3'sd1} : sdn_recovered = {3'b110, 6'b101001}; // Col [110]
</v>
      </c>
    </row>
    <row r="45" spans="1:24" x14ac:dyDescent="0.25">
      <c r="A45" s="1" t="s">
        <v>49</v>
      </c>
      <c r="B45" s="1" t="s">
        <v>206</v>
      </c>
      <c r="C45" s="10" t="s">
        <v>263</v>
      </c>
      <c r="D45" s="12" t="s">
        <v>204</v>
      </c>
      <c r="E45" s="1" t="s">
        <v>208</v>
      </c>
      <c r="F45" s="1" t="s">
        <v>253</v>
      </c>
      <c r="G45" s="13" t="s">
        <v>204</v>
      </c>
      <c r="H45" s="12" t="s">
        <v>207</v>
      </c>
      <c r="I45" s="1" t="s">
        <v>210</v>
      </c>
      <c r="J45" s="1" t="s">
        <v>253</v>
      </c>
      <c r="K45" s="13" t="s">
        <v>204</v>
      </c>
      <c r="L45" s="12" t="s">
        <v>207</v>
      </c>
      <c r="M45" s="1" t="s">
        <v>208</v>
      </c>
      <c r="N45" s="1" t="s">
        <v>253</v>
      </c>
      <c r="O45" s="13" t="s">
        <v>207</v>
      </c>
      <c r="P45" s="12" t="s">
        <v>204</v>
      </c>
      <c r="Q45" s="1" t="s">
        <v>210</v>
      </c>
      <c r="R45" s="1" t="s">
        <v>253</v>
      </c>
      <c r="S45" s="13" t="s">
        <v>207</v>
      </c>
      <c r="T45" s="24" t="s">
        <v>426</v>
      </c>
      <c r="U45" s="24" t="s">
        <v>427</v>
      </c>
      <c r="V45" s="24" t="s">
        <v>428</v>
      </c>
      <c r="W45" s="24" t="s">
        <v>429</v>
      </c>
      <c r="X45" t="str">
        <f t="shared" si="0"/>
        <v xml:space="preserve">// Row: Sd_n[5:0] = 101010
				{3'sd0,  -3'sd2,  3'sd2,  3'sd0} : sdn_recovered = {3'b000, 6'b101010}; // Col [000]
				{3'sd1,  -3'sd1,  3'sd2,  3'sd0} : sdn_recovered = {3'b010, 6'b101010}; // Col [010]
				{3'sd1,  -3'sd2,  3'sd2,  3'sd1} : sdn_recovered = {3'b100, 6'b101010}; // Col [100]
				{3'sd0,  -3'sd1,  3'sd2,  3'sd1} : sdn_recovered = {3'b110, 6'b101010}; // Col [110]
</v>
      </c>
    </row>
    <row r="46" spans="1:24" x14ac:dyDescent="0.25">
      <c r="A46" s="1" t="s">
        <v>50</v>
      </c>
      <c r="B46" s="1" t="s">
        <v>206</v>
      </c>
      <c r="C46" s="10" t="s">
        <v>264</v>
      </c>
      <c r="D46" s="12" t="s">
        <v>208</v>
      </c>
      <c r="E46" s="1" t="s">
        <v>208</v>
      </c>
      <c r="F46" s="1" t="s">
        <v>253</v>
      </c>
      <c r="G46" s="13" t="s">
        <v>204</v>
      </c>
      <c r="H46" s="12" t="s">
        <v>210</v>
      </c>
      <c r="I46" s="1" t="s">
        <v>210</v>
      </c>
      <c r="J46" s="1" t="s">
        <v>253</v>
      </c>
      <c r="K46" s="13" t="s">
        <v>204</v>
      </c>
      <c r="L46" s="12" t="s">
        <v>210</v>
      </c>
      <c r="M46" s="1" t="s">
        <v>208</v>
      </c>
      <c r="N46" s="1" t="s">
        <v>253</v>
      </c>
      <c r="O46" s="13" t="s">
        <v>207</v>
      </c>
      <c r="P46" s="12" t="s">
        <v>208</v>
      </c>
      <c r="Q46" s="1" t="s">
        <v>210</v>
      </c>
      <c r="R46" s="1" t="s">
        <v>253</v>
      </c>
      <c r="S46" s="13" t="s">
        <v>207</v>
      </c>
      <c r="T46" s="24" t="s">
        <v>430</v>
      </c>
      <c r="U46" s="24" t="s">
        <v>431</v>
      </c>
      <c r="V46" s="24" t="s">
        <v>432</v>
      </c>
      <c r="W46" s="24" t="s">
        <v>433</v>
      </c>
      <c r="X46" t="str">
        <f t="shared" si="0"/>
        <v xml:space="preserve">// Row: Sd_n[5:0] = 101011
				{-3'sd2,  -3'sd2,  3'sd2,  3'sd0} : sdn_recovered = {3'b000, 6'b101011}; // Col [000]
				{-3'sd1,  -3'sd1,  3'sd2,  3'sd0} : sdn_recovered = {3'b010, 6'b101011}; // Col [010]
				{-3'sd1,  -3'sd2,  3'sd2,  3'sd1} : sdn_recovered = {3'b100, 6'b101011}; // Col [100]
				{-3'sd2,  -3'sd1,  3'sd2,  3'sd1} : sdn_recovered = {3'b110, 6'b101011}; // Col [110]
</v>
      </c>
    </row>
    <row r="47" spans="1:24" x14ac:dyDescent="0.25">
      <c r="A47" s="1" t="s">
        <v>51</v>
      </c>
      <c r="B47" s="1" t="s">
        <v>206</v>
      </c>
      <c r="C47" s="10" t="s">
        <v>265</v>
      </c>
      <c r="D47" s="12" t="s">
        <v>204</v>
      </c>
      <c r="E47" s="1" t="s">
        <v>204</v>
      </c>
      <c r="F47" s="1" t="s">
        <v>253</v>
      </c>
      <c r="G47" s="13" t="s">
        <v>208</v>
      </c>
      <c r="H47" s="12" t="s">
        <v>207</v>
      </c>
      <c r="I47" s="1" t="s">
        <v>207</v>
      </c>
      <c r="J47" s="1" t="s">
        <v>253</v>
      </c>
      <c r="K47" s="13" t="s">
        <v>208</v>
      </c>
      <c r="L47" s="12" t="s">
        <v>207</v>
      </c>
      <c r="M47" s="1" t="s">
        <v>204</v>
      </c>
      <c r="N47" s="1" t="s">
        <v>253</v>
      </c>
      <c r="O47" s="13" t="s">
        <v>210</v>
      </c>
      <c r="P47" s="12" t="s">
        <v>204</v>
      </c>
      <c r="Q47" s="1" t="s">
        <v>207</v>
      </c>
      <c r="R47" s="1" t="s">
        <v>253</v>
      </c>
      <c r="S47" s="13" t="s">
        <v>210</v>
      </c>
      <c r="T47" s="24" t="s">
        <v>434</v>
      </c>
      <c r="U47" s="24" t="s">
        <v>435</v>
      </c>
      <c r="V47" s="24" t="s">
        <v>436</v>
      </c>
      <c r="W47" s="24" t="s">
        <v>437</v>
      </c>
      <c r="X47" t="str">
        <f t="shared" si="0"/>
        <v xml:space="preserve">// Row: Sd_n[5:0] = 101100
				{3'sd0,  3'sd0,  3'sd2,  -3'sd2} : sdn_recovered = {3'b000, 6'b101100}; // Col [000]
				{3'sd1,  3'sd1,  3'sd2,  -3'sd2} : sdn_recovered = {3'b010, 6'b101100}; // Col [010]
				{3'sd1,  3'sd0,  3'sd2,  -3'sd1} : sdn_recovered = {3'b100, 6'b101100}; // Col [100]
				{3'sd0,  3'sd1,  3'sd2,  -3'sd1} : sdn_recovered = {3'b110, 6'b101100}; // Col [110]
</v>
      </c>
    </row>
    <row r="48" spans="1:24" x14ac:dyDescent="0.25">
      <c r="A48" s="1" t="s">
        <v>52</v>
      </c>
      <c r="B48" s="1" t="s">
        <v>206</v>
      </c>
      <c r="C48" s="10" t="s">
        <v>266</v>
      </c>
      <c r="D48" s="12" t="s">
        <v>208</v>
      </c>
      <c r="E48" s="1" t="s">
        <v>204</v>
      </c>
      <c r="F48" s="1" t="s">
        <v>253</v>
      </c>
      <c r="G48" s="13" t="s">
        <v>208</v>
      </c>
      <c r="H48" s="12" t="s">
        <v>210</v>
      </c>
      <c r="I48" s="1" t="s">
        <v>207</v>
      </c>
      <c r="J48" s="1" t="s">
        <v>253</v>
      </c>
      <c r="K48" s="13" t="s">
        <v>208</v>
      </c>
      <c r="L48" s="12" t="s">
        <v>210</v>
      </c>
      <c r="M48" s="1" t="s">
        <v>204</v>
      </c>
      <c r="N48" s="1" t="s">
        <v>253</v>
      </c>
      <c r="O48" s="13" t="s">
        <v>210</v>
      </c>
      <c r="P48" s="12" t="s">
        <v>208</v>
      </c>
      <c r="Q48" s="1" t="s">
        <v>207</v>
      </c>
      <c r="R48" s="1" t="s">
        <v>253</v>
      </c>
      <c r="S48" s="13" t="s">
        <v>210</v>
      </c>
      <c r="T48" s="24" t="s">
        <v>438</v>
      </c>
      <c r="U48" s="24" t="s">
        <v>439</v>
      </c>
      <c r="V48" s="24" t="s">
        <v>440</v>
      </c>
      <c r="W48" s="24" t="s">
        <v>441</v>
      </c>
      <c r="X48" t="str">
        <f t="shared" si="0"/>
        <v xml:space="preserve">// Row: Sd_n[5:0] = 101101
				{-3'sd2,  3'sd0,  3'sd2,  -3'sd2} : sdn_recovered = {3'b000, 6'b101101}; // Col [000]
				{-3'sd1,  3'sd1,  3'sd2,  -3'sd2} : sdn_recovered = {3'b010, 6'b101101}; // Col [010]
				{-3'sd1,  3'sd0,  3'sd2,  -3'sd1} : sdn_recovered = {3'b100, 6'b101101}; // Col [100]
				{-3'sd2,  3'sd1,  3'sd2,  -3'sd1} : sdn_recovered = {3'b110, 6'b101101}; // Col [110]
</v>
      </c>
    </row>
    <row r="49" spans="1:24" x14ac:dyDescent="0.25">
      <c r="A49" s="1" t="s">
        <v>53</v>
      </c>
      <c r="B49" s="1" t="s">
        <v>206</v>
      </c>
      <c r="C49" s="10" t="s">
        <v>267</v>
      </c>
      <c r="D49" s="12" t="s">
        <v>204</v>
      </c>
      <c r="E49" s="1" t="s">
        <v>208</v>
      </c>
      <c r="F49" s="1" t="s">
        <v>253</v>
      </c>
      <c r="G49" s="13" t="s">
        <v>208</v>
      </c>
      <c r="H49" s="12" t="s">
        <v>207</v>
      </c>
      <c r="I49" s="1" t="s">
        <v>210</v>
      </c>
      <c r="J49" s="1" t="s">
        <v>253</v>
      </c>
      <c r="K49" s="13" t="s">
        <v>208</v>
      </c>
      <c r="L49" s="12" t="s">
        <v>207</v>
      </c>
      <c r="M49" s="1" t="s">
        <v>208</v>
      </c>
      <c r="N49" s="1" t="s">
        <v>253</v>
      </c>
      <c r="O49" s="13" t="s">
        <v>210</v>
      </c>
      <c r="P49" s="12" t="s">
        <v>204</v>
      </c>
      <c r="Q49" s="1" t="s">
        <v>210</v>
      </c>
      <c r="R49" s="1" t="s">
        <v>253</v>
      </c>
      <c r="S49" s="13" t="s">
        <v>210</v>
      </c>
      <c r="T49" s="24" t="s">
        <v>442</v>
      </c>
      <c r="U49" s="24" t="s">
        <v>443</v>
      </c>
      <c r="V49" s="24" t="s">
        <v>444</v>
      </c>
      <c r="W49" s="24" t="s">
        <v>445</v>
      </c>
      <c r="X49" t="str">
        <f t="shared" si="0"/>
        <v xml:space="preserve">// Row: Sd_n[5:0] = 101110
				{3'sd0,  -3'sd2,  3'sd2,  -3'sd2} : sdn_recovered = {3'b000, 6'b101110}; // Col [000]
				{3'sd1,  -3'sd1,  3'sd2,  -3'sd2} : sdn_recovered = {3'b010, 6'b101110}; // Col [010]
				{3'sd1,  -3'sd2,  3'sd2,  -3'sd1} : sdn_recovered = {3'b100, 6'b101110}; // Col [100]
				{3'sd0,  -3'sd1,  3'sd2,  -3'sd1} : sdn_recovered = {3'b110, 6'b101110}; // Col [110]
</v>
      </c>
    </row>
    <row r="50" spans="1:24" x14ac:dyDescent="0.25">
      <c r="A50" s="1" t="s">
        <v>54</v>
      </c>
      <c r="B50" s="1" t="s">
        <v>206</v>
      </c>
      <c r="C50" s="10" t="s">
        <v>268</v>
      </c>
      <c r="D50" s="12" t="s">
        <v>208</v>
      </c>
      <c r="E50" s="1" t="s">
        <v>208</v>
      </c>
      <c r="F50" s="1" t="s">
        <v>253</v>
      </c>
      <c r="G50" s="13" t="s">
        <v>208</v>
      </c>
      <c r="H50" s="12" t="s">
        <v>210</v>
      </c>
      <c r="I50" s="1" t="s">
        <v>210</v>
      </c>
      <c r="J50" s="1" t="s">
        <v>253</v>
      </c>
      <c r="K50" s="13" t="s">
        <v>208</v>
      </c>
      <c r="L50" s="12" t="s">
        <v>210</v>
      </c>
      <c r="M50" s="1" t="s">
        <v>208</v>
      </c>
      <c r="N50" s="1" t="s">
        <v>253</v>
      </c>
      <c r="O50" s="13" t="s">
        <v>210</v>
      </c>
      <c r="P50" s="12" t="s">
        <v>208</v>
      </c>
      <c r="Q50" s="1" t="s">
        <v>210</v>
      </c>
      <c r="R50" s="1" t="s">
        <v>253</v>
      </c>
      <c r="S50" s="13" t="s">
        <v>210</v>
      </c>
      <c r="T50" s="24" t="s">
        <v>446</v>
      </c>
      <c r="U50" s="24" t="s">
        <v>447</v>
      </c>
      <c r="V50" s="24" t="s">
        <v>448</v>
      </c>
      <c r="W50" s="24" t="s">
        <v>449</v>
      </c>
      <c r="X50" t="str">
        <f t="shared" si="0"/>
        <v xml:space="preserve">// Row: Sd_n[5:0] = 101111
				{-3'sd2,  -3'sd2,  3'sd2,  -3'sd2} : sdn_recovered = {3'b000, 6'b101111}; // Col [000]
				{-3'sd1,  -3'sd1,  3'sd2,  -3'sd2} : sdn_recovered = {3'b010, 6'b101111}; // Col [010]
				{-3'sd1,  -3'sd2,  3'sd2,  -3'sd1} : sdn_recovered = {3'b100, 6'b101111}; // Col [100]
				{-3'sd2,  -3'sd1,  3'sd2,  -3'sd1} : sdn_recovered = {3'b110, 6'b101111}; // Col [110]
</v>
      </c>
    </row>
    <row r="51" spans="1:24" x14ac:dyDescent="0.25">
      <c r="A51" s="1" t="s">
        <v>55</v>
      </c>
      <c r="B51" s="1" t="s">
        <v>206</v>
      </c>
      <c r="C51" s="10" t="s">
        <v>269</v>
      </c>
      <c r="D51" s="12" t="s">
        <v>204</v>
      </c>
      <c r="E51" s="1" t="s">
        <v>253</v>
      </c>
      <c r="F51" s="1" t="s">
        <v>204</v>
      </c>
      <c r="G51" s="13" t="s">
        <v>204</v>
      </c>
      <c r="H51" s="12" t="s">
        <v>204</v>
      </c>
      <c r="I51" s="1" t="s">
        <v>253</v>
      </c>
      <c r="J51" s="1" t="s">
        <v>207</v>
      </c>
      <c r="K51" s="13" t="s">
        <v>207</v>
      </c>
      <c r="L51" s="12" t="s">
        <v>207</v>
      </c>
      <c r="M51" s="1" t="s">
        <v>253</v>
      </c>
      <c r="N51" s="1" t="s">
        <v>204</v>
      </c>
      <c r="O51" s="13" t="s">
        <v>207</v>
      </c>
      <c r="P51" s="12" t="s">
        <v>207</v>
      </c>
      <c r="Q51" s="1" t="s">
        <v>253</v>
      </c>
      <c r="R51" s="1" t="s">
        <v>207</v>
      </c>
      <c r="S51" s="13" t="s">
        <v>204</v>
      </c>
      <c r="T51" s="24" t="s">
        <v>450</v>
      </c>
      <c r="U51" s="24" t="s">
        <v>451</v>
      </c>
      <c r="V51" s="24" t="s">
        <v>452</v>
      </c>
      <c r="W51" s="24" t="s">
        <v>453</v>
      </c>
      <c r="X51" t="str">
        <f t="shared" si="0"/>
        <v xml:space="preserve">// Row: Sd_n[5:0] = 110000
				{3'sd0,  3'sd2,  3'sd0,  3'sd0} : sdn_recovered = {3'b000, 6'b110000}; // Col [000]
				{3'sd0,  3'sd2,  3'sd1,  3'sd1} : sdn_recovered = {3'b010, 6'b110000}; // Col [010]
				{3'sd1,  3'sd2,  3'sd0,  3'sd1} : sdn_recovered = {3'b100, 6'b110000}; // Col [100]
				{3'sd1,  3'sd2,  3'sd1,  3'sd0} : sdn_recovered = {3'b110, 6'b110000}; // Col [110]
</v>
      </c>
    </row>
    <row r="52" spans="1:24" x14ac:dyDescent="0.25">
      <c r="A52" s="1" t="s">
        <v>56</v>
      </c>
      <c r="B52" s="1" t="s">
        <v>206</v>
      </c>
      <c r="C52" s="10" t="s">
        <v>270</v>
      </c>
      <c r="D52" s="12" t="s">
        <v>208</v>
      </c>
      <c r="E52" s="1" t="s">
        <v>253</v>
      </c>
      <c r="F52" s="1" t="s">
        <v>204</v>
      </c>
      <c r="G52" s="13" t="s">
        <v>204</v>
      </c>
      <c r="H52" s="12" t="s">
        <v>208</v>
      </c>
      <c r="I52" s="1" t="s">
        <v>253</v>
      </c>
      <c r="J52" s="1" t="s">
        <v>207</v>
      </c>
      <c r="K52" s="13" t="s">
        <v>207</v>
      </c>
      <c r="L52" s="12" t="s">
        <v>210</v>
      </c>
      <c r="M52" s="1" t="s">
        <v>253</v>
      </c>
      <c r="N52" s="1" t="s">
        <v>204</v>
      </c>
      <c r="O52" s="13" t="s">
        <v>207</v>
      </c>
      <c r="P52" s="12" t="s">
        <v>210</v>
      </c>
      <c r="Q52" s="1" t="s">
        <v>253</v>
      </c>
      <c r="R52" s="1" t="s">
        <v>207</v>
      </c>
      <c r="S52" s="13" t="s">
        <v>204</v>
      </c>
      <c r="T52" s="24" t="s">
        <v>454</v>
      </c>
      <c r="U52" s="24" t="s">
        <v>455</v>
      </c>
      <c r="V52" s="24" t="s">
        <v>456</v>
      </c>
      <c r="W52" s="24" t="s">
        <v>457</v>
      </c>
      <c r="X52" t="str">
        <f t="shared" si="0"/>
        <v xml:space="preserve">// Row: Sd_n[5:0] = 110001
				{-3'sd2,  3'sd2,  3'sd0,  3'sd0} : sdn_recovered = {3'b000, 6'b110001}; // Col [000]
				{-3'sd2,  3'sd2,  3'sd1,  3'sd1} : sdn_recovered = {3'b010, 6'b110001}; // Col [010]
				{-3'sd1,  3'sd2,  3'sd0,  3'sd1} : sdn_recovered = {3'b100, 6'b110001}; // Col [100]
				{-3'sd1,  3'sd2,  3'sd1,  3'sd0} : sdn_recovered = {3'b110, 6'b110001}; // Col [110]
</v>
      </c>
    </row>
    <row r="53" spans="1:24" x14ac:dyDescent="0.25">
      <c r="A53" s="1" t="s">
        <v>57</v>
      </c>
      <c r="B53" s="1" t="s">
        <v>206</v>
      </c>
      <c r="C53" s="10" t="s">
        <v>271</v>
      </c>
      <c r="D53" s="12" t="s">
        <v>204</v>
      </c>
      <c r="E53" s="1" t="s">
        <v>253</v>
      </c>
      <c r="F53" s="1" t="s">
        <v>208</v>
      </c>
      <c r="G53" s="13" t="s">
        <v>204</v>
      </c>
      <c r="H53" s="12" t="s">
        <v>204</v>
      </c>
      <c r="I53" s="1" t="s">
        <v>253</v>
      </c>
      <c r="J53" s="1" t="s">
        <v>210</v>
      </c>
      <c r="K53" s="13" t="s">
        <v>207</v>
      </c>
      <c r="L53" s="12" t="s">
        <v>207</v>
      </c>
      <c r="M53" s="1" t="s">
        <v>253</v>
      </c>
      <c r="N53" s="1" t="s">
        <v>208</v>
      </c>
      <c r="O53" s="13" t="s">
        <v>207</v>
      </c>
      <c r="P53" s="12" t="s">
        <v>207</v>
      </c>
      <c r="Q53" s="1" t="s">
        <v>253</v>
      </c>
      <c r="R53" s="1" t="s">
        <v>210</v>
      </c>
      <c r="S53" s="13" t="s">
        <v>204</v>
      </c>
      <c r="T53" s="24" t="s">
        <v>458</v>
      </c>
      <c r="U53" s="24" t="s">
        <v>459</v>
      </c>
      <c r="V53" s="24" t="s">
        <v>460</v>
      </c>
      <c r="W53" s="24" t="s">
        <v>461</v>
      </c>
      <c r="X53" t="str">
        <f t="shared" si="0"/>
        <v xml:space="preserve">// Row: Sd_n[5:0] = 110010
				{3'sd0,  3'sd2,  -3'sd2,  3'sd0} : sdn_recovered = {3'b000, 6'b110010}; // Col [000]
				{3'sd0,  3'sd2,  -3'sd1,  3'sd1} : sdn_recovered = {3'b010, 6'b110010}; // Col [010]
				{3'sd1,  3'sd2,  -3'sd2,  3'sd1} : sdn_recovered = {3'b100, 6'b110010}; // Col [100]
				{3'sd1,  3'sd2,  -3'sd1,  3'sd0} : sdn_recovered = {3'b110, 6'b110010}; // Col [110]
</v>
      </c>
    </row>
    <row r="54" spans="1:24" x14ac:dyDescent="0.25">
      <c r="A54" s="1" t="s">
        <v>58</v>
      </c>
      <c r="B54" s="1" t="s">
        <v>206</v>
      </c>
      <c r="C54" s="10" t="s">
        <v>272</v>
      </c>
      <c r="D54" s="12" t="s">
        <v>208</v>
      </c>
      <c r="E54" s="1" t="s">
        <v>253</v>
      </c>
      <c r="F54" s="1" t="s">
        <v>208</v>
      </c>
      <c r="G54" s="13" t="s">
        <v>204</v>
      </c>
      <c r="H54" s="12" t="s">
        <v>208</v>
      </c>
      <c r="I54" s="1" t="s">
        <v>253</v>
      </c>
      <c r="J54" s="1" t="s">
        <v>210</v>
      </c>
      <c r="K54" s="13" t="s">
        <v>207</v>
      </c>
      <c r="L54" s="12" t="s">
        <v>210</v>
      </c>
      <c r="M54" s="1" t="s">
        <v>253</v>
      </c>
      <c r="N54" s="1" t="s">
        <v>208</v>
      </c>
      <c r="O54" s="13" t="s">
        <v>207</v>
      </c>
      <c r="P54" s="12" t="s">
        <v>210</v>
      </c>
      <c r="Q54" s="1" t="s">
        <v>253</v>
      </c>
      <c r="R54" s="1" t="s">
        <v>210</v>
      </c>
      <c r="S54" s="13" t="s">
        <v>204</v>
      </c>
      <c r="T54" s="24" t="s">
        <v>462</v>
      </c>
      <c r="U54" s="24" t="s">
        <v>463</v>
      </c>
      <c r="V54" s="24" t="s">
        <v>464</v>
      </c>
      <c r="W54" s="24" t="s">
        <v>465</v>
      </c>
      <c r="X54" t="str">
        <f t="shared" si="0"/>
        <v xml:space="preserve">// Row: Sd_n[5:0] = 110011
				{-3'sd2,  3'sd2,  -3'sd2,  3'sd0} : sdn_recovered = {3'b000, 6'b110011}; // Col [000]
				{-3'sd2,  3'sd2,  -3'sd1,  3'sd1} : sdn_recovered = {3'b010, 6'b110011}; // Col [010]
				{-3'sd1,  3'sd2,  -3'sd2,  3'sd1} : sdn_recovered = {3'b100, 6'b110011}; // Col [100]
				{-3'sd1,  3'sd2,  -3'sd1,  3'sd0} : sdn_recovered = {3'b110, 6'b110011}; // Col [110]
</v>
      </c>
    </row>
    <row r="55" spans="1:24" x14ac:dyDescent="0.25">
      <c r="A55" s="1" t="s">
        <v>59</v>
      </c>
      <c r="B55" s="1" t="s">
        <v>206</v>
      </c>
      <c r="C55" s="10" t="s">
        <v>273</v>
      </c>
      <c r="D55" s="12" t="s">
        <v>204</v>
      </c>
      <c r="E55" s="1" t="s">
        <v>253</v>
      </c>
      <c r="F55" s="1" t="s">
        <v>204</v>
      </c>
      <c r="G55" s="13" t="s">
        <v>208</v>
      </c>
      <c r="H55" s="12" t="s">
        <v>204</v>
      </c>
      <c r="I55" s="1" t="s">
        <v>253</v>
      </c>
      <c r="J55" s="1" t="s">
        <v>207</v>
      </c>
      <c r="K55" s="13" t="s">
        <v>210</v>
      </c>
      <c r="L55" s="12" t="s">
        <v>207</v>
      </c>
      <c r="M55" s="1" t="s">
        <v>253</v>
      </c>
      <c r="N55" s="1" t="s">
        <v>204</v>
      </c>
      <c r="O55" s="13" t="s">
        <v>210</v>
      </c>
      <c r="P55" s="12" t="s">
        <v>207</v>
      </c>
      <c r="Q55" s="1" t="s">
        <v>253</v>
      </c>
      <c r="R55" s="1" t="s">
        <v>207</v>
      </c>
      <c r="S55" s="13" t="s">
        <v>208</v>
      </c>
      <c r="T55" s="24" t="s">
        <v>466</v>
      </c>
      <c r="U55" s="24" t="s">
        <v>467</v>
      </c>
      <c r="V55" s="24" t="s">
        <v>468</v>
      </c>
      <c r="W55" s="24" t="s">
        <v>469</v>
      </c>
      <c r="X55" t="str">
        <f t="shared" si="0"/>
        <v xml:space="preserve">// Row: Sd_n[5:0] = 110100
				{3'sd0,  3'sd2,  3'sd0,  -3'sd2} : sdn_recovered = {3'b000, 6'b110100}; // Col [000]
				{3'sd0,  3'sd2,  3'sd1,  -3'sd1} : sdn_recovered = {3'b010, 6'b110100}; // Col [010]
				{3'sd1,  3'sd2,  3'sd0,  -3'sd1} : sdn_recovered = {3'b100, 6'b110100}; // Col [100]
				{3'sd1,  3'sd2,  3'sd1,  -3'sd2} : sdn_recovered = {3'b110, 6'b110100}; // Col [110]
</v>
      </c>
    </row>
    <row r="56" spans="1:24" x14ac:dyDescent="0.25">
      <c r="A56" s="1" t="s">
        <v>60</v>
      </c>
      <c r="B56" s="1" t="s">
        <v>206</v>
      </c>
      <c r="C56" s="10" t="s">
        <v>274</v>
      </c>
      <c r="D56" s="12" t="s">
        <v>208</v>
      </c>
      <c r="E56" s="1" t="s">
        <v>253</v>
      </c>
      <c r="F56" s="1" t="s">
        <v>204</v>
      </c>
      <c r="G56" s="13" t="s">
        <v>208</v>
      </c>
      <c r="H56" s="12" t="s">
        <v>208</v>
      </c>
      <c r="I56" s="1" t="s">
        <v>253</v>
      </c>
      <c r="J56" s="1" t="s">
        <v>207</v>
      </c>
      <c r="K56" s="13" t="s">
        <v>210</v>
      </c>
      <c r="L56" s="12" t="s">
        <v>210</v>
      </c>
      <c r="M56" s="1" t="s">
        <v>253</v>
      </c>
      <c r="N56" s="1" t="s">
        <v>204</v>
      </c>
      <c r="O56" s="13" t="s">
        <v>210</v>
      </c>
      <c r="P56" s="12" t="s">
        <v>210</v>
      </c>
      <c r="Q56" s="1" t="s">
        <v>253</v>
      </c>
      <c r="R56" s="1" t="s">
        <v>207</v>
      </c>
      <c r="S56" s="13" t="s">
        <v>208</v>
      </c>
      <c r="T56" s="24" t="s">
        <v>470</v>
      </c>
      <c r="U56" s="24" t="s">
        <v>471</v>
      </c>
      <c r="V56" s="24" t="s">
        <v>472</v>
      </c>
      <c r="W56" s="24" t="s">
        <v>473</v>
      </c>
      <c r="X56" t="str">
        <f t="shared" si="0"/>
        <v xml:space="preserve">// Row: Sd_n[5:0] = 110101
				{-3'sd2,  3'sd2,  3'sd0,  -3'sd2} : sdn_recovered = {3'b000, 6'b110101}; // Col [000]
				{-3'sd2,  3'sd2,  3'sd1,  -3'sd1} : sdn_recovered = {3'b010, 6'b110101}; // Col [010]
				{-3'sd1,  3'sd2,  3'sd0,  -3'sd1} : sdn_recovered = {3'b100, 6'b110101}; // Col [100]
				{-3'sd1,  3'sd2,  3'sd1,  -3'sd2} : sdn_recovered = {3'b110, 6'b110101}; // Col [110]
</v>
      </c>
    </row>
    <row r="57" spans="1:24" x14ac:dyDescent="0.25">
      <c r="A57" s="1" t="s">
        <v>61</v>
      </c>
      <c r="B57" s="1" t="s">
        <v>206</v>
      </c>
      <c r="C57" s="10" t="s">
        <v>275</v>
      </c>
      <c r="D57" s="12" t="s">
        <v>204</v>
      </c>
      <c r="E57" s="1" t="s">
        <v>253</v>
      </c>
      <c r="F57" s="1" t="s">
        <v>208</v>
      </c>
      <c r="G57" s="13" t="s">
        <v>208</v>
      </c>
      <c r="H57" s="12" t="s">
        <v>204</v>
      </c>
      <c r="I57" s="1" t="s">
        <v>253</v>
      </c>
      <c r="J57" s="1" t="s">
        <v>210</v>
      </c>
      <c r="K57" s="13" t="s">
        <v>210</v>
      </c>
      <c r="L57" s="12" t="s">
        <v>207</v>
      </c>
      <c r="M57" s="1" t="s">
        <v>253</v>
      </c>
      <c r="N57" s="1" t="s">
        <v>208</v>
      </c>
      <c r="O57" s="13" t="s">
        <v>210</v>
      </c>
      <c r="P57" s="12" t="s">
        <v>207</v>
      </c>
      <c r="Q57" s="1" t="s">
        <v>253</v>
      </c>
      <c r="R57" s="1" t="s">
        <v>210</v>
      </c>
      <c r="S57" s="13" t="s">
        <v>208</v>
      </c>
      <c r="T57" s="24" t="s">
        <v>474</v>
      </c>
      <c r="U57" s="24" t="s">
        <v>475</v>
      </c>
      <c r="V57" s="24" t="s">
        <v>476</v>
      </c>
      <c r="W57" s="24" t="s">
        <v>477</v>
      </c>
      <c r="X57" t="str">
        <f t="shared" si="0"/>
        <v xml:space="preserve">// Row: Sd_n[5:0] = 110110
				{3'sd0,  3'sd2,  -3'sd2,  -3'sd2} : sdn_recovered = {3'b000, 6'b110110}; // Col [000]
				{3'sd0,  3'sd2,  -3'sd1,  -3'sd1} : sdn_recovered = {3'b010, 6'b110110}; // Col [010]
				{3'sd1,  3'sd2,  -3'sd2,  -3'sd1} : sdn_recovered = {3'b100, 6'b110110}; // Col [100]
				{3'sd1,  3'sd2,  -3'sd1,  -3'sd2} : sdn_recovered = {3'b110, 6'b110110}; // Col [110]
</v>
      </c>
    </row>
    <row r="58" spans="1:24" x14ac:dyDescent="0.25">
      <c r="A58" s="1" t="s">
        <v>62</v>
      </c>
      <c r="B58" s="1" t="s">
        <v>206</v>
      </c>
      <c r="C58" s="10" t="s">
        <v>276</v>
      </c>
      <c r="D58" s="12" t="s">
        <v>208</v>
      </c>
      <c r="E58" s="1" t="s">
        <v>253</v>
      </c>
      <c r="F58" s="1" t="s">
        <v>208</v>
      </c>
      <c r="G58" s="13" t="s">
        <v>208</v>
      </c>
      <c r="H58" s="12" t="s">
        <v>208</v>
      </c>
      <c r="I58" s="1" t="s">
        <v>253</v>
      </c>
      <c r="J58" s="1" t="s">
        <v>210</v>
      </c>
      <c r="K58" s="13" t="s">
        <v>210</v>
      </c>
      <c r="L58" s="12" t="s">
        <v>210</v>
      </c>
      <c r="M58" s="1" t="s">
        <v>253</v>
      </c>
      <c r="N58" s="1" t="s">
        <v>208</v>
      </c>
      <c r="O58" s="13" t="s">
        <v>210</v>
      </c>
      <c r="P58" s="12" t="s">
        <v>210</v>
      </c>
      <c r="Q58" s="1" t="s">
        <v>253</v>
      </c>
      <c r="R58" s="1" t="s">
        <v>210</v>
      </c>
      <c r="S58" s="13" t="s">
        <v>208</v>
      </c>
      <c r="T58" s="24" t="s">
        <v>478</v>
      </c>
      <c r="U58" s="24" t="s">
        <v>479</v>
      </c>
      <c r="V58" s="24" t="s">
        <v>480</v>
      </c>
      <c r="W58" s="24" t="s">
        <v>481</v>
      </c>
      <c r="X58" t="str">
        <f t="shared" si="0"/>
        <v xml:space="preserve">// Row: Sd_n[5:0] = 110111
				{-3'sd2,  3'sd2,  -3'sd2,  -3'sd2} : sdn_recovered = {3'b000, 6'b110111}; // Col [000]
				{-3'sd2,  3'sd2,  -3'sd1,  -3'sd1} : sdn_recovered = {3'b010, 6'b110111}; // Col [010]
				{-3'sd1,  3'sd2,  -3'sd2,  -3'sd1} : sdn_recovered = {3'b100, 6'b110111}; // Col [100]
				{-3'sd1,  3'sd2,  -3'sd1,  -3'sd2} : sdn_recovered = {3'b110, 6'b110111}; // Col [110]
</v>
      </c>
    </row>
    <row r="59" spans="1:24" x14ac:dyDescent="0.25">
      <c r="A59" s="1" t="s">
        <v>63</v>
      </c>
      <c r="B59" s="1" t="s">
        <v>206</v>
      </c>
      <c r="C59" s="10" t="s">
        <v>277</v>
      </c>
      <c r="D59" s="12" t="s">
        <v>204</v>
      </c>
      <c r="E59" s="1" t="s">
        <v>204</v>
      </c>
      <c r="F59" s="1" t="s">
        <v>204</v>
      </c>
      <c r="G59" s="13" t="s">
        <v>253</v>
      </c>
      <c r="H59" s="12" t="s">
        <v>207</v>
      </c>
      <c r="I59" s="1" t="s">
        <v>207</v>
      </c>
      <c r="J59" s="1" t="s">
        <v>204</v>
      </c>
      <c r="K59" s="13" t="s">
        <v>253</v>
      </c>
      <c r="L59" s="12" t="s">
        <v>204</v>
      </c>
      <c r="M59" s="1" t="s">
        <v>207</v>
      </c>
      <c r="N59" s="1" t="s">
        <v>207</v>
      </c>
      <c r="O59" s="13" t="s">
        <v>253</v>
      </c>
      <c r="P59" s="12" t="s">
        <v>207</v>
      </c>
      <c r="Q59" s="1" t="s">
        <v>204</v>
      </c>
      <c r="R59" s="1" t="s">
        <v>207</v>
      </c>
      <c r="S59" s="13" t="s">
        <v>253</v>
      </c>
      <c r="T59" s="24" t="s">
        <v>482</v>
      </c>
      <c r="U59" s="24" t="s">
        <v>483</v>
      </c>
      <c r="V59" s="24" t="s">
        <v>484</v>
      </c>
      <c r="W59" s="24" t="s">
        <v>485</v>
      </c>
      <c r="X59" t="str">
        <f t="shared" si="0"/>
        <v xml:space="preserve">// Row: Sd_n[5:0] = 111000
				{3'sd0,  3'sd0,  3'sd0,  3'sd2} : sdn_recovered = {3'b000, 6'b111000}; // Col [000]
				{3'sd1,  3'sd1,  3'sd0,  3'sd2} : sdn_recovered = {3'b010, 6'b111000}; // Col [010]
				{3'sd0,  3'sd1,  3'sd1,  3'sd2} : sdn_recovered = {3'b100, 6'b111000}; // Col [100]
				{3'sd1,  3'sd0,  3'sd1,  3'sd2} : sdn_recovered = {3'b110, 6'b111000}; // Col [110]
</v>
      </c>
    </row>
    <row r="60" spans="1:24" x14ac:dyDescent="0.25">
      <c r="A60" s="1" t="s">
        <v>64</v>
      </c>
      <c r="B60" s="1" t="s">
        <v>206</v>
      </c>
      <c r="C60" s="10" t="s">
        <v>278</v>
      </c>
      <c r="D60" s="12" t="s">
        <v>208</v>
      </c>
      <c r="E60" s="1" t="s">
        <v>204</v>
      </c>
      <c r="F60" s="1" t="s">
        <v>204</v>
      </c>
      <c r="G60" s="13" t="s">
        <v>253</v>
      </c>
      <c r="H60" s="12" t="s">
        <v>210</v>
      </c>
      <c r="I60" s="1" t="s">
        <v>207</v>
      </c>
      <c r="J60" s="1" t="s">
        <v>204</v>
      </c>
      <c r="K60" s="13" t="s">
        <v>253</v>
      </c>
      <c r="L60" s="12" t="s">
        <v>208</v>
      </c>
      <c r="M60" s="1" t="s">
        <v>207</v>
      </c>
      <c r="N60" s="1" t="s">
        <v>207</v>
      </c>
      <c r="O60" s="13" t="s">
        <v>253</v>
      </c>
      <c r="P60" s="12" t="s">
        <v>210</v>
      </c>
      <c r="Q60" s="1" t="s">
        <v>204</v>
      </c>
      <c r="R60" s="1" t="s">
        <v>207</v>
      </c>
      <c r="S60" s="13" t="s">
        <v>253</v>
      </c>
      <c r="T60" s="24" t="s">
        <v>486</v>
      </c>
      <c r="U60" s="24" t="s">
        <v>487</v>
      </c>
      <c r="V60" s="24" t="s">
        <v>488</v>
      </c>
      <c r="W60" s="24" t="s">
        <v>489</v>
      </c>
      <c r="X60" t="str">
        <f t="shared" si="0"/>
        <v xml:space="preserve">// Row: Sd_n[5:0] = 111001
				{-3'sd2,  3'sd0,  3'sd0,  3'sd2} : sdn_recovered = {3'b000, 6'b111001}; // Col [000]
				{-3'sd1,  3'sd1,  3'sd0,  3'sd2} : sdn_recovered = {3'b010, 6'b111001}; // Col [010]
				{-3'sd2,  3'sd1,  3'sd1,  3'sd2} : sdn_recovered = {3'b100, 6'b111001}; // Col [100]
				{-3'sd1,  3'sd0,  3'sd1,  3'sd2} : sdn_recovered = {3'b110, 6'b111001}; // Col [110]
</v>
      </c>
    </row>
    <row r="61" spans="1:24" x14ac:dyDescent="0.25">
      <c r="A61" s="1" t="s">
        <v>65</v>
      </c>
      <c r="B61" s="1" t="s">
        <v>206</v>
      </c>
      <c r="C61" s="10" t="s">
        <v>279</v>
      </c>
      <c r="D61" s="12" t="s">
        <v>204</v>
      </c>
      <c r="E61" s="1" t="s">
        <v>208</v>
      </c>
      <c r="F61" s="1" t="s">
        <v>204</v>
      </c>
      <c r="G61" s="13" t="s">
        <v>253</v>
      </c>
      <c r="H61" s="12" t="s">
        <v>207</v>
      </c>
      <c r="I61" s="1" t="s">
        <v>210</v>
      </c>
      <c r="J61" s="1" t="s">
        <v>204</v>
      </c>
      <c r="K61" s="13" t="s">
        <v>253</v>
      </c>
      <c r="L61" s="12" t="s">
        <v>204</v>
      </c>
      <c r="M61" s="1" t="s">
        <v>210</v>
      </c>
      <c r="N61" s="1" t="s">
        <v>207</v>
      </c>
      <c r="O61" s="13" t="s">
        <v>253</v>
      </c>
      <c r="P61" s="12" t="s">
        <v>207</v>
      </c>
      <c r="Q61" s="1" t="s">
        <v>208</v>
      </c>
      <c r="R61" s="1" t="s">
        <v>207</v>
      </c>
      <c r="S61" s="13" t="s">
        <v>253</v>
      </c>
      <c r="T61" s="24" t="s">
        <v>490</v>
      </c>
      <c r="U61" s="24" t="s">
        <v>491</v>
      </c>
      <c r="V61" s="24" t="s">
        <v>492</v>
      </c>
      <c r="W61" s="24" t="s">
        <v>493</v>
      </c>
      <c r="X61" t="str">
        <f t="shared" si="0"/>
        <v xml:space="preserve">// Row: Sd_n[5:0] = 111010
				{3'sd0,  -3'sd2,  3'sd0,  3'sd2} : sdn_recovered = {3'b000, 6'b111010}; // Col [000]
				{3'sd1,  -3'sd1,  3'sd0,  3'sd2} : sdn_recovered = {3'b010, 6'b111010}; // Col [010]
				{3'sd0,  -3'sd1,  3'sd1,  3'sd2} : sdn_recovered = {3'b100, 6'b111010}; // Col [100]
				{3'sd1,  -3'sd2,  3'sd1,  3'sd2} : sdn_recovered = {3'b110, 6'b111010}; // Col [110]
</v>
      </c>
    </row>
    <row r="62" spans="1:24" x14ac:dyDescent="0.25">
      <c r="A62" s="1" t="s">
        <v>66</v>
      </c>
      <c r="B62" s="1" t="s">
        <v>206</v>
      </c>
      <c r="C62" s="10" t="s">
        <v>280</v>
      </c>
      <c r="D62" s="12" t="s">
        <v>208</v>
      </c>
      <c r="E62" s="1" t="s">
        <v>208</v>
      </c>
      <c r="F62" s="1" t="s">
        <v>204</v>
      </c>
      <c r="G62" s="13" t="s">
        <v>253</v>
      </c>
      <c r="H62" s="12" t="s">
        <v>210</v>
      </c>
      <c r="I62" s="1" t="s">
        <v>210</v>
      </c>
      <c r="J62" s="1" t="s">
        <v>204</v>
      </c>
      <c r="K62" s="13" t="s">
        <v>253</v>
      </c>
      <c r="L62" s="12" t="s">
        <v>208</v>
      </c>
      <c r="M62" s="1" t="s">
        <v>210</v>
      </c>
      <c r="N62" s="1" t="s">
        <v>207</v>
      </c>
      <c r="O62" s="13" t="s">
        <v>253</v>
      </c>
      <c r="P62" s="12" t="s">
        <v>210</v>
      </c>
      <c r="Q62" s="1" t="s">
        <v>208</v>
      </c>
      <c r="R62" s="1" t="s">
        <v>207</v>
      </c>
      <c r="S62" s="13" t="s">
        <v>253</v>
      </c>
      <c r="T62" s="24" t="s">
        <v>494</v>
      </c>
      <c r="U62" s="24" t="s">
        <v>495</v>
      </c>
      <c r="V62" s="24" t="s">
        <v>496</v>
      </c>
      <c r="W62" s="24" t="s">
        <v>497</v>
      </c>
      <c r="X62" t="str">
        <f t="shared" si="0"/>
        <v xml:space="preserve">// Row: Sd_n[5:0] = 111011
				{-3'sd2,  -3'sd2,  3'sd0,  3'sd2} : sdn_recovered = {3'b000, 6'b111011}; // Col [000]
				{-3'sd1,  -3'sd1,  3'sd0,  3'sd2} : sdn_recovered = {3'b010, 6'b111011}; // Col [010]
				{-3'sd2,  -3'sd1,  3'sd1,  3'sd2} : sdn_recovered = {3'b100, 6'b111011}; // Col [100]
				{-3'sd1,  -3'sd2,  3'sd1,  3'sd2} : sdn_recovered = {3'b110, 6'b111011}; // Col [110]
</v>
      </c>
    </row>
    <row r="63" spans="1:24" x14ac:dyDescent="0.25">
      <c r="A63" s="1" t="s">
        <v>67</v>
      </c>
      <c r="B63" s="1" t="s">
        <v>206</v>
      </c>
      <c r="C63" s="10" t="s">
        <v>281</v>
      </c>
      <c r="D63" s="12" t="s">
        <v>204</v>
      </c>
      <c r="E63" s="1" t="s">
        <v>204</v>
      </c>
      <c r="F63" s="1" t="s">
        <v>208</v>
      </c>
      <c r="G63" s="13" t="s">
        <v>253</v>
      </c>
      <c r="H63" s="12" t="s">
        <v>207</v>
      </c>
      <c r="I63" s="1" t="s">
        <v>207</v>
      </c>
      <c r="J63" s="1" t="s">
        <v>208</v>
      </c>
      <c r="K63" s="13" t="s">
        <v>253</v>
      </c>
      <c r="L63" s="12" t="s">
        <v>204</v>
      </c>
      <c r="M63" s="1" t="s">
        <v>207</v>
      </c>
      <c r="N63" s="1" t="s">
        <v>210</v>
      </c>
      <c r="O63" s="13" t="s">
        <v>253</v>
      </c>
      <c r="P63" s="12" t="s">
        <v>207</v>
      </c>
      <c r="Q63" s="1" t="s">
        <v>204</v>
      </c>
      <c r="R63" s="1" t="s">
        <v>210</v>
      </c>
      <c r="S63" s="13" t="s">
        <v>253</v>
      </c>
      <c r="T63" s="24" t="s">
        <v>498</v>
      </c>
      <c r="U63" s="24" t="s">
        <v>499</v>
      </c>
      <c r="V63" s="24" t="s">
        <v>500</v>
      </c>
      <c r="W63" s="24" t="s">
        <v>501</v>
      </c>
      <c r="X63" t="str">
        <f t="shared" si="0"/>
        <v xml:space="preserve">// Row: Sd_n[5:0] = 111100
				{3'sd0,  3'sd0,  -3'sd2,  3'sd2} : sdn_recovered = {3'b000, 6'b111100}; // Col [000]
				{3'sd1,  3'sd1,  -3'sd2,  3'sd2} : sdn_recovered = {3'b010, 6'b111100}; // Col [010]
				{3'sd0,  3'sd1,  -3'sd1,  3'sd2} : sdn_recovered = {3'b100, 6'b111100}; // Col [100]
				{3'sd1,  3'sd0,  -3'sd1,  3'sd2} : sdn_recovered = {3'b110, 6'b111100}; // Col [110]
</v>
      </c>
    </row>
    <row r="64" spans="1:24" x14ac:dyDescent="0.25">
      <c r="A64" s="1" t="s">
        <v>68</v>
      </c>
      <c r="B64" s="1" t="s">
        <v>206</v>
      </c>
      <c r="C64" s="10" t="s">
        <v>282</v>
      </c>
      <c r="D64" s="12" t="s">
        <v>208</v>
      </c>
      <c r="E64" s="1" t="s">
        <v>204</v>
      </c>
      <c r="F64" s="1" t="s">
        <v>208</v>
      </c>
      <c r="G64" s="13" t="s">
        <v>253</v>
      </c>
      <c r="H64" s="12" t="s">
        <v>210</v>
      </c>
      <c r="I64" s="1" t="s">
        <v>207</v>
      </c>
      <c r="J64" s="1" t="s">
        <v>208</v>
      </c>
      <c r="K64" s="13" t="s">
        <v>253</v>
      </c>
      <c r="L64" s="12" t="s">
        <v>208</v>
      </c>
      <c r="M64" s="1" t="s">
        <v>207</v>
      </c>
      <c r="N64" s="1" t="s">
        <v>210</v>
      </c>
      <c r="O64" s="13" t="s">
        <v>253</v>
      </c>
      <c r="P64" s="12" t="s">
        <v>210</v>
      </c>
      <c r="Q64" s="1" t="s">
        <v>204</v>
      </c>
      <c r="R64" s="1" t="s">
        <v>210</v>
      </c>
      <c r="S64" s="13" t="s">
        <v>253</v>
      </c>
      <c r="T64" s="24" t="s">
        <v>502</v>
      </c>
      <c r="U64" s="24" t="s">
        <v>503</v>
      </c>
      <c r="V64" s="24" t="s">
        <v>504</v>
      </c>
      <c r="W64" s="24" t="s">
        <v>505</v>
      </c>
      <c r="X64" t="str">
        <f t="shared" si="0"/>
        <v xml:space="preserve">// Row: Sd_n[5:0] = 111101
				{-3'sd2,  3'sd0,  -3'sd2,  3'sd2} : sdn_recovered = {3'b000, 6'b111101}; // Col [000]
				{-3'sd1,  3'sd1,  -3'sd2,  3'sd2} : sdn_recovered = {3'b010, 6'b111101}; // Col [010]
				{-3'sd2,  3'sd1,  -3'sd1,  3'sd2} : sdn_recovered = {3'b100, 6'b111101}; // Col [100]
				{-3'sd1,  3'sd0,  -3'sd1,  3'sd2} : sdn_recovered = {3'b110, 6'b111101}; // Col [110]
</v>
      </c>
    </row>
    <row r="65" spans="1:24" x14ac:dyDescent="0.25">
      <c r="A65" s="1" t="s">
        <v>69</v>
      </c>
      <c r="B65" s="1" t="s">
        <v>206</v>
      </c>
      <c r="C65" s="10" t="s">
        <v>283</v>
      </c>
      <c r="D65" s="12" t="s">
        <v>204</v>
      </c>
      <c r="E65" s="1" t="s">
        <v>208</v>
      </c>
      <c r="F65" s="1" t="s">
        <v>208</v>
      </c>
      <c r="G65" s="13" t="s">
        <v>253</v>
      </c>
      <c r="H65" s="12" t="s">
        <v>207</v>
      </c>
      <c r="I65" s="1" t="s">
        <v>210</v>
      </c>
      <c r="J65" s="1" t="s">
        <v>208</v>
      </c>
      <c r="K65" s="13" t="s">
        <v>253</v>
      </c>
      <c r="L65" s="12" t="s">
        <v>204</v>
      </c>
      <c r="M65" s="1" t="s">
        <v>210</v>
      </c>
      <c r="N65" s="1" t="s">
        <v>210</v>
      </c>
      <c r="O65" s="13" t="s">
        <v>253</v>
      </c>
      <c r="P65" s="12" t="s">
        <v>207</v>
      </c>
      <c r="Q65" s="1" t="s">
        <v>208</v>
      </c>
      <c r="R65" s="1" t="s">
        <v>210</v>
      </c>
      <c r="S65" s="13" t="s">
        <v>253</v>
      </c>
      <c r="T65" s="24" t="s">
        <v>506</v>
      </c>
      <c r="U65" s="24" t="s">
        <v>507</v>
      </c>
      <c r="V65" s="24" t="s">
        <v>508</v>
      </c>
      <c r="W65" s="24" t="s">
        <v>509</v>
      </c>
      <c r="X65" t="str">
        <f t="shared" si="0"/>
        <v xml:space="preserve">// Row: Sd_n[5:0] = 111110
				{3'sd0,  -3'sd2,  -3'sd2,  3'sd2} : sdn_recovered = {3'b000, 6'b111110}; // Col [000]
				{3'sd1,  -3'sd1,  -3'sd2,  3'sd2} : sdn_recovered = {3'b010, 6'b111110}; // Col [010]
				{3'sd0,  -3'sd1,  -3'sd1,  3'sd2} : sdn_recovered = {3'b100, 6'b111110}; // Col [100]
				{3'sd1,  -3'sd2,  -3'sd1,  3'sd2} : sdn_recovered = {3'b110, 6'b111110}; // Col [110]
</v>
      </c>
    </row>
    <row r="66" spans="1:24" x14ac:dyDescent="0.25">
      <c r="A66" s="1" t="s">
        <v>70</v>
      </c>
      <c r="B66" s="1" t="s">
        <v>206</v>
      </c>
      <c r="C66" s="10" t="s">
        <v>284</v>
      </c>
      <c r="D66" s="12" t="s">
        <v>208</v>
      </c>
      <c r="E66" s="1" t="s">
        <v>208</v>
      </c>
      <c r="F66" s="1" t="s">
        <v>208</v>
      </c>
      <c r="G66" s="13" t="s">
        <v>253</v>
      </c>
      <c r="H66" s="12" t="s">
        <v>210</v>
      </c>
      <c r="I66" s="1" t="s">
        <v>210</v>
      </c>
      <c r="J66" s="1" t="s">
        <v>208</v>
      </c>
      <c r="K66" s="13" t="s">
        <v>253</v>
      </c>
      <c r="L66" s="12" t="s">
        <v>208</v>
      </c>
      <c r="M66" s="1" t="s">
        <v>210</v>
      </c>
      <c r="N66" s="1" t="s">
        <v>210</v>
      </c>
      <c r="O66" s="13" t="s">
        <v>253</v>
      </c>
      <c r="P66" s="12" t="s">
        <v>210</v>
      </c>
      <c r="Q66" s="1" t="s">
        <v>208</v>
      </c>
      <c r="R66" s="1" t="s">
        <v>210</v>
      </c>
      <c r="S66" s="13" t="s">
        <v>253</v>
      </c>
      <c r="T66" s="24" t="s">
        <v>510</v>
      </c>
      <c r="U66" s="24" t="s">
        <v>511</v>
      </c>
      <c r="V66" s="24" t="s">
        <v>512</v>
      </c>
      <c r="W66" s="24" t="s">
        <v>513</v>
      </c>
      <c r="X66" t="str">
        <f t="shared" si="0"/>
        <v xml:space="preserve">// Row: Sd_n[5:0] = 111111
				{-3'sd2,  -3'sd2,  -3'sd2,  3'sd2} : sdn_recovered = {3'b000, 6'b111111}; // Col [000]
				{-3'sd1,  -3'sd1,  -3'sd2,  3'sd2} : sdn_recovered = {3'b010, 6'b111111}; // Col [010]
				{-3'sd2,  -3'sd1,  -3'sd1,  3'sd2} : sdn_recovered = {3'b100, 6'b111111}; // Col [100]
				{-3'sd1,  -3'sd2,  -3'sd1,  3'sd2} : sdn_recovered = {3'b110, 6'b111111}; // Col [110]
</v>
      </c>
    </row>
    <row r="67" spans="1:24" x14ac:dyDescent="0.25">
      <c r="A67" s="1" t="s">
        <v>71</v>
      </c>
      <c r="B67" s="1" t="s">
        <v>285</v>
      </c>
      <c r="C67" s="10" t="s">
        <v>286</v>
      </c>
      <c r="D67" s="12" t="s">
        <v>204</v>
      </c>
      <c r="E67" s="1" t="s">
        <v>253</v>
      </c>
      <c r="F67" s="1" t="s">
        <v>253</v>
      </c>
      <c r="G67" s="13" t="s">
        <v>204</v>
      </c>
      <c r="H67" s="12" t="s">
        <v>207</v>
      </c>
      <c r="I67" s="1" t="s">
        <v>207</v>
      </c>
      <c r="J67" s="1" t="s">
        <v>253</v>
      </c>
      <c r="K67" s="13" t="s">
        <v>253</v>
      </c>
      <c r="L67" s="12" t="s">
        <v>253</v>
      </c>
      <c r="M67" s="1" t="s">
        <v>207</v>
      </c>
      <c r="N67" s="1" t="s">
        <v>207</v>
      </c>
      <c r="O67" s="13" t="s">
        <v>253</v>
      </c>
      <c r="P67" s="12" t="s">
        <v>253</v>
      </c>
      <c r="Q67" s="1" t="s">
        <v>207</v>
      </c>
      <c r="R67" s="1" t="s">
        <v>253</v>
      </c>
      <c r="S67" s="13" t="s">
        <v>207</v>
      </c>
    </row>
    <row r="68" spans="1:24" x14ac:dyDescent="0.25">
      <c r="A68" s="1" t="s">
        <v>4</v>
      </c>
      <c r="B68" s="1" t="s">
        <v>287</v>
      </c>
      <c r="C68" s="10" t="s">
        <v>286</v>
      </c>
      <c r="D68" s="12" t="s">
        <v>208</v>
      </c>
      <c r="E68" s="1" t="s">
        <v>253</v>
      </c>
      <c r="F68" s="1" t="s">
        <v>253</v>
      </c>
      <c r="G68" s="13" t="s">
        <v>208</v>
      </c>
      <c r="H68" s="12" t="s">
        <v>210</v>
      </c>
      <c r="I68" s="1" t="s">
        <v>210</v>
      </c>
      <c r="J68" s="1" t="s">
        <v>253</v>
      </c>
      <c r="K68" s="13" t="s">
        <v>253</v>
      </c>
      <c r="L68" s="12" t="s">
        <v>253</v>
      </c>
      <c r="M68" s="1" t="s">
        <v>210</v>
      </c>
      <c r="N68" s="1" t="s">
        <v>210</v>
      </c>
      <c r="O68" s="13" t="s">
        <v>253</v>
      </c>
      <c r="P68" s="12" t="s">
        <v>253</v>
      </c>
      <c r="Q68" s="1" t="s">
        <v>210</v>
      </c>
      <c r="R68" s="1" t="s">
        <v>253</v>
      </c>
      <c r="S68" s="13" t="s">
        <v>210</v>
      </c>
    </row>
    <row r="69" spans="1:24" x14ac:dyDescent="0.25">
      <c r="A69" s="1" t="s">
        <v>72</v>
      </c>
      <c r="B69" s="1" t="s">
        <v>288</v>
      </c>
      <c r="C69" s="10" t="s">
        <v>286</v>
      </c>
      <c r="D69" s="12" t="s">
        <v>253</v>
      </c>
      <c r="E69" s="1" t="s">
        <v>204</v>
      </c>
      <c r="F69" s="1" t="s">
        <v>204</v>
      </c>
      <c r="G69" s="13" t="s">
        <v>253</v>
      </c>
      <c r="H69" s="12" t="s">
        <v>253</v>
      </c>
      <c r="I69" s="1" t="s">
        <v>253</v>
      </c>
      <c r="J69" s="1" t="s">
        <v>207</v>
      </c>
      <c r="K69" s="13" t="s">
        <v>207</v>
      </c>
      <c r="L69" s="12" t="s">
        <v>207</v>
      </c>
      <c r="M69" s="1" t="s">
        <v>253</v>
      </c>
      <c r="N69" s="1" t="s">
        <v>253</v>
      </c>
      <c r="O69" s="13" t="s">
        <v>207</v>
      </c>
      <c r="P69" s="12" t="s">
        <v>207</v>
      </c>
      <c r="Q69" s="1" t="s">
        <v>253</v>
      </c>
      <c r="R69" s="1" t="s">
        <v>207</v>
      </c>
      <c r="S69" s="13" t="s">
        <v>253</v>
      </c>
    </row>
    <row r="70" spans="1:24" x14ac:dyDescent="0.25">
      <c r="A70" s="1" t="s">
        <v>73</v>
      </c>
      <c r="B70" s="1" t="s">
        <v>289</v>
      </c>
      <c r="C70" s="10" t="s">
        <v>286</v>
      </c>
      <c r="D70" s="12" t="s">
        <v>253</v>
      </c>
      <c r="E70" s="1" t="s">
        <v>208</v>
      </c>
      <c r="F70" s="1" t="s">
        <v>208</v>
      </c>
      <c r="G70" s="13" t="s">
        <v>253</v>
      </c>
      <c r="H70" s="12" t="s">
        <v>253</v>
      </c>
      <c r="I70" s="1" t="s">
        <v>253</v>
      </c>
      <c r="J70" s="1" t="s">
        <v>210</v>
      </c>
      <c r="K70" s="13" t="s">
        <v>210</v>
      </c>
      <c r="L70" s="12" t="s">
        <v>210</v>
      </c>
      <c r="M70" s="1" t="s">
        <v>253</v>
      </c>
      <c r="N70" s="1" t="s">
        <v>253</v>
      </c>
      <c r="O70" s="13" t="s">
        <v>210</v>
      </c>
      <c r="P70" s="12" t="s">
        <v>210</v>
      </c>
      <c r="Q70" s="1" t="s">
        <v>253</v>
      </c>
      <c r="R70" s="1" t="s">
        <v>210</v>
      </c>
      <c r="S70" s="13" t="s">
        <v>253</v>
      </c>
    </row>
    <row r="71" spans="1:24" x14ac:dyDescent="0.25">
      <c r="A71" s="1" t="s">
        <v>74</v>
      </c>
      <c r="B71" s="1" t="s">
        <v>290</v>
      </c>
      <c r="C71" s="10" t="s">
        <v>286</v>
      </c>
      <c r="D71" s="12" t="s">
        <v>253</v>
      </c>
      <c r="E71" s="1" t="s">
        <v>253</v>
      </c>
      <c r="F71" s="1" t="s">
        <v>253</v>
      </c>
      <c r="G71" s="13" t="s">
        <v>253</v>
      </c>
      <c r="H71" s="12" t="s">
        <v>291</v>
      </c>
      <c r="I71" s="1" t="s">
        <v>291</v>
      </c>
      <c r="J71" s="1" t="s">
        <v>291</v>
      </c>
      <c r="K71" s="13"/>
      <c r="L71" s="12"/>
      <c r="M71" s="1"/>
      <c r="N71" s="1"/>
      <c r="O71" s="13"/>
      <c r="P71" s="12"/>
      <c r="Q71" s="1"/>
      <c r="R71" s="1"/>
      <c r="S71" s="13"/>
    </row>
    <row r="72" spans="1:24" x14ac:dyDescent="0.25">
      <c r="A72" s="1" t="s">
        <v>75</v>
      </c>
      <c r="B72" s="1" t="s">
        <v>292</v>
      </c>
      <c r="C72" s="10" t="s">
        <v>286</v>
      </c>
      <c r="D72" s="12" t="s">
        <v>253</v>
      </c>
      <c r="E72" s="1" t="s">
        <v>253</v>
      </c>
      <c r="F72" s="1" t="s">
        <v>253</v>
      </c>
      <c r="G72" s="13" t="s">
        <v>208</v>
      </c>
      <c r="H72" s="12" t="s">
        <v>291</v>
      </c>
      <c r="I72" s="1" t="s">
        <v>291</v>
      </c>
      <c r="J72" s="1" t="s">
        <v>291</v>
      </c>
      <c r="K72" s="13"/>
      <c r="L72" s="12"/>
      <c r="M72" s="1"/>
      <c r="N72" s="1"/>
      <c r="O72" s="13"/>
      <c r="P72" s="12"/>
      <c r="Q72" s="1"/>
      <c r="R72" s="1"/>
      <c r="S72" s="13"/>
    </row>
    <row r="73" spans="1:24" x14ac:dyDescent="0.25">
      <c r="A73" s="1" t="s">
        <v>76</v>
      </c>
      <c r="B73" s="1" t="s">
        <v>293</v>
      </c>
      <c r="C73" s="10" t="s">
        <v>286</v>
      </c>
      <c r="D73" s="12" t="s">
        <v>253</v>
      </c>
      <c r="E73" s="1" t="s">
        <v>253</v>
      </c>
      <c r="F73" s="1" t="s">
        <v>253</v>
      </c>
      <c r="G73" s="13" t="s">
        <v>253</v>
      </c>
      <c r="H73" s="12" t="s">
        <v>291</v>
      </c>
      <c r="I73" s="1" t="s">
        <v>291</v>
      </c>
      <c r="J73" s="1" t="s">
        <v>291</v>
      </c>
      <c r="K73" s="13"/>
      <c r="L73" s="12"/>
      <c r="M73" s="1"/>
      <c r="N73" s="1"/>
      <c r="O73" s="13"/>
      <c r="P73" s="12"/>
      <c r="Q73" s="1"/>
      <c r="R73" s="1"/>
      <c r="S73" s="13"/>
    </row>
    <row r="74" spans="1:24" x14ac:dyDescent="0.25">
      <c r="A74" s="1" t="s">
        <v>77</v>
      </c>
      <c r="B74" s="1" t="s">
        <v>294</v>
      </c>
      <c r="C74" s="10" t="s">
        <v>286</v>
      </c>
      <c r="D74" s="12" t="s">
        <v>253</v>
      </c>
      <c r="E74" s="1" t="s">
        <v>253</v>
      </c>
      <c r="F74" s="1" t="s">
        <v>253</v>
      </c>
      <c r="G74" s="13" t="s">
        <v>208</v>
      </c>
      <c r="H74" s="12" t="s">
        <v>291</v>
      </c>
      <c r="I74" s="1" t="s">
        <v>291</v>
      </c>
      <c r="J74" s="1" t="s">
        <v>291</v>
      </c>
      <c r="K74" s="13"/>
      <c r="L74" s="12"/>
      <c r="M74" s="1"/>
      <c r="N74" s="1"/>
      <c r="O74" s="13"/>
      <c r="P74" s="12"/>
      <c r="Q74" s="1"/>
      <c r="R74" s="1"/>
      <c r="S74" s="13"/>
    </row>
    <row r="75" spans="1:24" x14ac:dyDescent="0.25">
      <c r="A75" s="1" t="s">
        <v>78</v>
      </c>
      <c r="B75" s="1" t="s">
        <v>295</v>
      </c>
      <c r="C75" s="10" t="s">
        <v>286</v>
      </c>
      <c r="D75" s="12" t="s">
        <v>253</v>
      </c>
      <c r="E75" s="1" t="s">
        <v>253</v>
      </c>
      <c r="F75" s="1" t="s">
        <v>208</v>
      </c>
      <c r="G75" s="13" t="s">
        <v>253</v>
      </c>
      <c r="H75" s="12" t="s">
        <v>291</v>
      </c>
      <c r="I75" s="1" t="s">
        <v>291</v>
      </c>
      <c r="J75" s="1" t="s">
        <v>291</v>
      </c>
      <c r="K75" s="13"/>
      <c r="L75" s="12"/>
      <c r="M75" s="1"/>
      <c r="N75" s="1"/>
      <c r="O75" s="13"/>
      <c r="P75" s="12"/>
      <c r="Q75" s="1"/>
      <c r="R75" s="1"/>
      <c r="S75" s="13"/>
    </row>
    <row r="76" spans="1:24" x14ac:dyDescent="0.25">
      <c r="A76" s="1" t="s">
        <v>79</v>
      </c>
      <c r="B76" s="1" t="s">
        <v>296</v>
      </c>
      <c r="C76" s="10" t="s">
        <v>286</v>
      </c>
      <c r="D76" s="12" t="s">
        <v>253</v>
      </c>
      <c r="E76" s="1" t="s">
        <v>208</v>
      </c>
      <c r="F76" s="1" t="s">
        <v>253</v>
      </c>
      <c r="G76" s="13" t="s">
        <v>253</v>
      </c>
      <c r="H76" s="12" t="s">
        <v>291</v>
      </c>
      <c r="I76" s="1" t="s">
        <v>291</v>
      </c>
      <c r="J76" s="1" t="s">
        <v>291</v>
      </c>
      <c r="K76" s="13"/>
      <c r="L76" s="12"/>
      <c r="M76" s="1"/>
      <c r="N76" s="1"/>
      <c r="O76" s="13"/>
      <c r="P76" s="12"/>
      <c r="Q76" s="1"/>
      <c r="R76" s="1"/>
      <c r="S76" s="13"/>
    </row>
    <row r="77" spans="1:24" x14ac:dyDescent="0.25">
      <c r="A77" s="1" t="s">
        <v>80</v>
      </c>
      <c r="B77" s="1" t="s">
        <v>297</v>
      </c>
      <c r="C77" s="10" t="s">
        <v>286</v>
      </c>
      <c r="D77" s="12" t="s">
        <v>208</v>
      </c>
      <c r="E77" s="1" t="s">
        <v>253</v>
      </c>
      <c r="F77" s="1" t="s">
        <v>253</v>
      </c>
      <c r="G77" s="13" t="s">
        <v>253</v>
      </c>
      <c r="H77" s="12" t="s">
        <v>291</v>
      </c>
      <c r="I77" s="1" t="s">
        <v>291</v>
      </c>
      <c r="J77" s="1" t="s">
        <v>291</v>
      </c>
      <c r="K77" s="13"/>
      <c r="L77" s="12"/>
      <c r="M77" s="1"/>
      <c r="N77" s="1"/>
      <c r="O77" s="13"/>
      <c r="P77" s="12"/>
      <c r="Q77" s="1"/>
      <c r="R77" s="1"/>
      <c r="S77" s="13"/>
    </row>
    <row r="78" spans="1:24" x14ac:dyDescent="0.25">
      <c r="A78" s="1" t="s">
        <v>81</v>
      </c>
      <c r="B78" s="1" t="s">
        <v>298</v>
      </c>
      <c r="C78" s="10" t="s">
        <v>174</v>
      </c>
      <c r="D78" s="12" t="s">
        <v>204</v>
      </c>
      <c r="E78" s="1" t="s">
        <v>204</v>
      </c>
      <c r="F78" s="1" t="s">
        <v>204</v>
      </c>
      <c r="G78" s="13" t="s">
        <v>204</v>
      </c>
      <c r="H78" s="12" t="s">
        <v>291</v>
      </c>
      <c r="I78" s="1" t="s">
        <v>291</v>
      </c>
      <c r="J78" s="1" t="s">
        <v>291</v>
      </c>
      <c r="K78" s="13"/>
      <c r="L78" s="12"/>
      <c r="M78" s="1"/>
      <c r="N78" s="1"/>
      <c r="O78" s="13"/>
      <c r="P78" s="12"/>
      <c r="Q78" s="1"/>
      <c r="R78" s="1"/>
      <c r="S78" s="13"/>
    </row>
    <row r="79" spans="1:24" x14ac:dyDescent="0.25">
      <c r="A79" s="1" t="s">
        <v>82</v>
      </c>
      <c r="B79" s="1" t="s">
        <v>298</v>
      </c>
      <c r="C79" s="10" t="s">
        <v>175</v>
      </c>
      <c r="D79" s="12" t="s">
        <v>208</v>
      </c>
      <c r="E79" s="1" t="s">
        <v>204</v>
      </c>
      <c r="F79" s="1" t="s">
        <v>204</v>
      </c>
      <c r="G79" s="13" t="s">
        <v>204</v>
      </c>
      <c r="H79" s="12" t="s">
        <v>291</v>
      </c>
      <c r="I79" s="1" t="s">
        <v>291</v>
      </c>
      <c r="J79" s="1" t="s">
        <v>291</v>
      </c>
      <c r="K79" s="13"/>
      <c r="L79" s="12"/>
      <c r="M79" s="1"/>
      <c r="N79" s="1"/>
      <c r="O79" s="13"/>
      <c r="P79" s="12"/>
      <c r="Q79" s="1"/>
      <c r="R79" s="1"/>
      <c r="S79" s="13"/>
    </row>
    <row r="80" spans="1:24" x14ac:dyDescent="0.25">
      <c r="A80" s="1" t="s">
        <v>83</v>
      </c>
      <c r="B80" s="1" t="s">
        <v>298</v>
      </c>
      <c r="C80" s="10" t="s">
        <v>176</v>
      </c>
      <c r="D80" s="12" t="s">
        <v>204</v>
      </c>
      <c r="E80" s="1" t="s">
        <v>208</v>
      </c>
      <c r="F80" s="1" t="s">
        <v>204</v>
      </c>
      <c r="G80" s="13" t="s">
        <v>204</v>
      </c>
      <c r="H80" s="12" t="s">
        <v>291</v>
      </c>
      <c r="I80" s="1" t="s">
        <v>291</v>
      </c>
      <c r="J80" s="1" t="s">
        <v>291</v>
      </c>
      <c r="K80" s="13"/>
      <c r="L80" s="12"/>
      <c r="M80" s="1"/>
      <c r="N80" s="1"/>
      <c r="O80" s="13"/>
      <c r="P80" s="12"/>
      <c r="Q80" s="1"/>
      <c r="R80" s="1"/>
      <c r="S80" s="13"/>
    </row>
    <row r="81" spans="1:19" x14ac:dyDescent="0.25">
      <c r="A81" s="1" t="s">
        <v>84</v>
      </c>
      <c r="B81" s="1" t="s">
        <v>298</v>
      </c>
      <c r="C81" s="10" t="s">
        <v>177</v>
      </c>
      <c r="D81" s="12" t="s">
        <v>208</v>
      </c>
      <c r="E81" s="1" t="s">
        <v>208</v>
      </c>
      <c r="F81" s="1" t="s">
        <v>204</v>
      </c>
      <c r="G81" s="13" t="s">
        <v>204</v>
      </c>
      <c r="H81" s="12" t="s">
        <v>291</v>
      </c>
      <c r="I81" s="1" t="s">
        <v>291</v>
      </c>
      <c r="J81" s="1" t="s">
        <v>291</v>
      </c>
      <c r="K81" s="13"/>
      <c r="L81" s="12"/>
      <c r="M81" s="1"/>
      <c r="N81" s="1"/>
      <c r="O81" s="13"/>
      <c r="P81" s="12"/>
      <c r="Q81" s="1"/>
      <c r="R81" s="1"/>
      <c r="S81" s="13"/>
    </row>
    <row r="82" spans="1:19" x14ac:dyDescent="0.25">
      <c r="A82" s="1" t="s">
        <v>85</v>
      </c>
      <c r="B82" s="1" t="s">
        <v>298</v>
      </c>
      <c r="C82" s="10" t="s">
        <v>178</v>
      </c>
      <c r="D82" s="12" t="s">
        <v>204</v>
      </c>
      <c r="E82" s="1" t="s">
        <v>204</v>
      </c>
      <c r="F82" s="1" t="s">
        <v>208</v>
      </c>
      <c r="G82" s="13" t="s">
        <v>204</v>
      </c>
      <c r="H82" s="12" t="s">
        <v>291</v>
      </c>
      <c r="I82" s="1" t="s">
        <v>291</v>
      </c>
      <c r="J82" s="1" t="s">
        <v>291</v>
      </c>
      <c r="K82" s="13"/>
      <c r="L82" s="12"/>
      <c r="M82" s="1"/>
      <c r="N82" s="1"/>
      <c r="O82" s="13"/>
      <c r="P82" s="12"/>
      <c r="Q82" s="1"/>
      <c r="R82" s="1"/>
      <c r="S82" s="13"/>
    </row>
    <row r="83" spans="1:19" x14ac:dyDescent="0.25">
      <c r="A83" s="1" t="s">
        <v>86</v>
      </c>
      <c r="B83" s="1" t="s">
        <v>298</v>
      </c>
      <c r="C83" s="10" t="s">
        <v>179</v>
      </c>
      <c r="D83" s="12" t="s">
        <v>208</v>
      </c>
      <c r="E83" s="1" t="s">
        <v>204</v>
      </c>
      <c r="F83" s="1" t="s">
        <v>208</v>
      </c>
      <c r="G83" s="13" t="s">
        <v>204</v>
      </c>
      <c r="H83" s="12" t="s">
        <v>291</v>
      </c>
      <c r="I83" s="1" t="s">
        <v>291</v>
      </c>
      <c r="J83" s="1" t="s">
        <v>291</v>
      </c>
      <c r="K83" s="13"/>
      <c r="L83" s="12"/>
      <c r="M83" s="1"/>
      <c r="N83" s="1"/>
      <c r="O83" s="13"/>
      <c r="P83" s="12"/>
      <c r="Q83" s="1"/>
      <c r="R83" s="1"/>
      <c r="S83" s="13"/>
    </row>
    <row r="84" spans="1:19" x14ac:dyDescent="0.25">
      <c r="A84" s="1" t="s">
        <v>87</v>
      </c>
      <c r="B84" s="1" t="s">
        <v>298</v>
      </c>
      <c r="C84" s="10" t="s">
        <v>180</v>
      </c>
      <c r="D84" s="12" t="s">
        <v>204</v>
      </c>
      <c r="E84" s="1" t="s">
        <v>208</v>
      </c>
      <c r="F84" s="1" t="s">
        <v>208</v>
      </c>
      <c r="G84" s="13" t="s">
        <v>204</v>
      </c>
      <c r="H84" s="12" t="s">
        <v>291</v>
      </c>
      <c r="I84" s="1" t="s">
        <v>291</v>
      </c>
      <c r="J84" s="1" t="s">
        <v>291</v>
      </c>
      <c r="K84" s="13"/>
      <c r="L84" s="12"/>
      <c r="M84" s="1"/>
      <c r="N84" s="1"/>
      <c r="O84" s="13"/>
      <c r="P84" s="12"/>
      <c r="Q84" s="1"/>
      <c r="R84" s="1"/>
      <c r="S84" s="13"/>
    </row>
    <row r="85" spans="1:19" x14ac:dyDescent="0.25">
      <c r="A85" s="1" t="s">
        <v>88</v>
      </c>
      <c r="B85" s="1" t="s">
        <v>298</v>
      </c>
      <c r="C85" s="10" t="s">
        <v>181</v>
      </c>
      <c r="D85" s="12" t="s">
        <v>208</v>
      </c>
      <c r="E85" s="1" t="s">
        <v>208</v>
      </c>
      <c r="F85" s="1" t="s">
        <v>208</v>
      </c>
      <c r="G85" s="13" t="s">
        <v>204</v>
      </c>
      <c r="H85" s="12" t="s">
        <v>291</v>
      </c>
      <c r="I85" s="1" t="s">
        <v>291</v>
      </c>
      <c r="J85" s="1" t="s">
        <v>291</v>
      </c>
      <c r="K85" s="13"/>
      <c r="L85" s="12"/>
      <c r="M85" s="1"/>
      <c r="N85" s="1"/>
      <c r="O85" s="13"/>
      <c r="P85" s="12"/>
      <c r="Q85" s="1"/>
      <c r="R85" s="1"/>
      <c r="S85" s="13"/>
    </row>
    <row r="86" spans="1:19" x14ac:dyDescent="0.25">
      <c r="A86" s="1" t="s">
        <v>89</v>
      </c>
      <c r="B86" s="1" t="s">
        <v>298</v>
      </c>
      <c r="C86" s="10" t="s">
        <v>182</v>
      </c>
      <c r="D86" s="12" t="s">
        <v>204</v>
      </c>
      <c r="E86" s="1" t="s">
        <v>204</v>
      </c>
      <c r="F86" s="1" t="s">
        <v>204</v>
      </c>
      <c r="G86" s="13" t="s">
        <v>208</v>
      </c>
      <c r="H86" s="12" t="s">
        <v>291</v>
      </c>
      <c r="I86" s="1" t="s">
        <v>291</v>
      </c>
      <c r="J86" s="1" t="s">
        <v>291</v>
      </c>
      <c r="K86" s="13"/>
      <c r="L86" s="12"/>
      <c r="M86" s="1"/>
      <c r="N86" s="1"/>
      <c r="O86" s="13"/>
      <c r="P86" s="12"/>
      <c r="Q86" s="1"/>
      <c r="R86" s="1"/>
      <c r="S86" s="13"/>
    </row>
    <row r="87" spans="1:19" x14ac:dyDescent="0.25">
      <c r="A87" s="1" t="s">
        <v>90</v>
      </c>
      <c r="B87" s="1" t="s">
        <v>298</v>
      </c>
      <c r="C87" s="10" t="s">
        <v>183</v>
      </c>
      <c r="D87" s="12" t="s">
        <v>208</v>
      </c>
      <c r="E87" s="1" t="s">
        <v>204</v>
      </c>
      <c r="F87" s="1" t="s">
        <v>204</v>
      </c>
      <c r="G87" s="13" t="s">
        <v>208</v>
      </c>
      <c r="H87" s="12" t="s">
        <v>291</v>
      </c>
      <c r="I87" s="1" t="s">
        <v>291</v>
      </c>
      <c r="J87" s="1" t="s">
        <v>291</v>
      </c>
      <c r="K87" s="13"/>
      <c r="L87" s="12"/>
      <c r="M87" s="1"/>
      <c r="N87" s="1"/>
      <c r="O87" s="13"/>
      <c r="P87" s="12"/>
      <c r="Q87" s="1"/>
      <c r="R87" s="1"/>
      <c r="S87" s="13"/>
    </row>
    <row r="88" spans="1:19" x14ac:dyDescent="0.25">
      <c r="A88" s="1" t="s">
        <v>91</v>
      </c>
      <c r="B88" s="1" t="s">
        <v>298</v>
      </c>
      <c r="C88" s="10" t="s">
        <v>184</v>
      </c>
      <c r="D88" s="12" t="s">
        <v>204</v>
      </c>
      <c r="E88" s="1" t="s">
        <v>208</v>
      </c>
      <c r="F88" s="1" t="s">
        <v>204</v>
      </c>
      <c r="G88" s="13" t="s">
        <v>208</v>
      </c>
      <c r="H88" s="12" t="s">
        <v>291</v>
      </c>
      <c r="I88" s="1" t="s">
        <v>291</v>
      </c>
      <c r="J88" s="1" t="s">
        <v>291</v>
      </c>
      <c r="K88" s="13"/>
      <c r="L88" s="12"/>
      <c r="M88" s="1"/>
      <c r="N88" s="1"/>
      <c r="O88" s="13"/>
      <c r="P88" s="12"/>
      <c r="Q88" s="1"/>
      <c r="R88" s="1"/>
      <c r="S88" s="13"/>
    </row>
    <row r="89" spans="1:19" x14ac:dyDescent="0.25">
      <c r="A89" s="1" t="s">
        <v>92</v>
      </c>
      <c r="B89" s="1" t="s">
        <v>298</v>
      </c>
      <c r="C89" s="10" t="s">
        <v>185</v>
      </c>
      <c r="D89" s="12" t="s">
        <v>208</v>
      </c>
      <c r="E89" s="1" t="s">
        <v>208</v>
      </c>
      <c r="F89" s="1" t="s">
        <v>204</v>
      </c>
      <c r="G89" s="13" t="s">
        <v>208</v>
      </c>
      <c r="H89" s="12" t="s">
        <v>291</v>
      </c>
      <c r="I89" s="1" t="s">
        <v>291</v>
      </c>
      <c r="J89" s="1" t="s">
        <v>291</v>
      </c>
      <c r="K89" s="13"/>
      <c r="L89" s="12"/>
      <c r="M89" s="1"/>
      <c r="N89" s="1"/>
      <c r="O89" s="13"/>
      <c r="P89" s="12"/>
      <c r="Q89" s="1"/>
      <c r="R89" s="1"/>
      <c r="S89" s="13"/>
    </row>
    <row r="90" spans="1:19" x14ac:dyDescent="0.25">
      <c r="A90" s="1" t="s">
        <v>93</v>
      </c>
      <c r="B90" s="1" t="s">
        <v>298</v>
      </c>
      <c r="C90" s="10" t="s">
        <v>186</v>
      </c>
      <c r="D90" s="12" t="s">
        <v>204</v>
      </c>
      <c r="E90" s="1" t="s">
        <v>204</v>
      </c>
      <c r="F90" s="1" t="s">
        <v>208</v>
      </c>
      <c r="G90" s="13" t="s">
        <v>208</v>
      </c>
      <c r="H90" s="12" t="s">
        <v>291</v>
      </c>
      <c r="I90" s="1" t="s">
        <v>291</v>
      </c>
      <c r="J90" s="1" t="s">
        <v>291</v>
      </c>
      <c r="K90" s="13"/>
      <c r="L90" s="12"/>
      <c r="M90" s="1"/>
      <c r="N90" s="1"/>
      <c r="O90" s="13"/>
      <c r="P90" s="12"/>
      <c r="Q90" s="1"/>
      <c r="R90" s="1"/>
      <c r="S90" s="13"/>
    </row>
    <row r="91" spans="1:19" x14ac:dyDescent="0.25">
      <c r="A91" s="1" t="s">
        <v>94</v>
      </c>
      <c r="B91" s="1" t="s">
        <v>298</v>
      </c>
      <c r="C91" s="10" t="s">
        <v>187</v>
      </c>
      <c r="D91" s="12" t="s">
        <v>208</v>
      </c>
      <c r="E91" s="1" t="s">
        <v>204</v>
      </c>
      <c r="F91" s="1" t="s">
        <v>208</v>
      </c>
      <c r="G91" s="13" t="s">
        <v>208</v>
      </c>
      <c r="H91" s="12" t="s">
        <v>291</v>
      </c>
      <c r="I91" s="1" t="s">
        <v>291</v>
      </c>
      <c r="J91" s="1" t="s">
        <v>291</v>
      </c>
      <c r="K91" s="13"/>
      <c r="L91" s="12"/>
      <c r="M91" s="1"/>
      <c r="N91" s="1"/>
      <c r="O91" s="13"/>
      <c r="P91" s="12"/>
      <c r="Q91" s="1"/>
      <c r="R91" s="1"/>
      <c r="S91" s="13"/>
    </row>
    <row r="92" spans="1:19" x14ac:dyDescent="0.25">
      <c r="A92" s="1" t="s">
        <v>95</v>
      </c>
      <c r="B92" s="1" t="s">
        <v>298</v>
      </c>
      <c r="C92" s="10" t="s">
        <v>188</v>
      </c>
      <c r="D92" s="12" t="s">
        <v>204</v>
      </c>
      <c r="E92" s="1" t="s">
        <v>208</v>
      </c>
      <c r="F92" s="1" t="s">
        <v>208</v>
      </c>
      <c r="G92" s="13" t="s">
        <v>208</v>
      </c>
      <c r="H92" s="12" t="s">
        <v>291</v>
      </c>
      <c r="I92" s="1" t="s">
        <v>291</v>
      </c>
      <c r="J92" s="1" t="s">
        <v>291</v>
      </c>
      <c r="K92" s="13"/>
      <c r="L92" s="12"/>
      <c r="M92" s="1"/>
      <c r="N92" s="1"/>
      <c r="O92" s="13"/>
      <c r="P92" s="12"/>
      <c r="Q92" s="1"/>
      <c r="R92" s="1"/>
      <c r="S92" s="13"/>
    </row>
    <row r="93" spans="1:19" ht="15.75" thickBot="1" x14ac:dyDescent="0.3">
      <c r="A93" s="1" t="s">
        <v>96</v>
      </c>
      <c r="B93" s="1" t="s">
        <v>298</v>
      </c>
      <c r="C93" s="10" t="s">
        <v>189</v>
      </c>
      <c r="D93" s="14" t="s">
        <v>208</v>
      </c>
      <c r="E93" s="15" t="s">
        <v>208</v>
      </c>
      <c r="F93" s="15" t="s">
        <v>208</v>
      </c>
      <c r="G93" s="16" t="s">
        <v>208</v>
      </c>
      <c r="H93" s="14" t="s">
        <v>291</v>
      </c>
      <c r="I93" s="15" t="s">
        <v>291</v>
      </c>
      <c r="J93" s="15" t="s">
        <v>291</v>
      </c>
      <c r="K93" s="16"/>
      <c r="L93" s="14"/>
      <c r="M93" s="15"/>
      <c r="N93" s="15"/>
      <c r="O93" s="16"/>
      <c r="P93" s="14"/>
      <c r="Q93" s="15"/>
      <c r="R93" s="15"/>
      <c r="S93" s="16"/>
    </row>
  </sheetData>
  <mergeCells count="5">
    <mergeCell ref="D1:S1"/>
    <mergeCell ref="D2:G2"/>
    <mergeCell ref="H2:K2"/>
    <mergeCell ref="L2:O2"/>
    <mergeCell ref="P2:S2"/>
  </mergeCells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1E87-A6F5-44E9-B4CC-B10033D8751A}">
  <dimension ref="A1:Y71"/>
  <sheetViews>
    <sheetView tabSelected="1" topLeftCell="A51" zoomScale="85" zoomScaleNormal="85" workbookViewId="0">
      <selection activeCell="T62" sqref="T62"/>
    </sheetView>
  </sheetViews>
  <sheetFormatPr defaultRowHeight="15" x14ac:dyDescent="0.25"/>
  <cols>
    <col min="1" max="1" width="63" bestFit="1" customWidth="1"/>
    <col min="2" max="2" width="12.140625" bestFit="1" customWidth="1"/>
    <col min="3" max="3" width="8.42578125" bestFit="1" customWidth="1"/>
    <col min="4" max="19" width="3" bestFit="1" customWidth="1"/>
    <col min="20" max="23" width="72.85546875" bestFit="1" customWidth="1"/>
    <col min="24" max="24" width="3" bestFit="1" customWidth="1"/>
  </cols>
  <sheetData>
    <row r="1" spans="1:25" s="4" customFormat="1" x14ac:dyDescent="0.2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5" s="4" customFormat="1" ht="15.75" thickBot="1" x14ac:dyDescent="0.3">
      <c r="D2" s="18" t="s">
        <v>6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25" s="5" customFormat="1" x14ac:dyDescent="0.25">
      <c r="A3" s="3" t="s">
        <v>100</v>
      </c>
      <c r="B3" s="3" t="s">
        <v>97</v>
      </c>
      <c r="C3" s="17" t="s">
        <v>98</v>
      </c>
      <c r="D3" s="19" t="s">
        <v>169</v>
      </c>
      <c r="E3" s="20"/>
      <c r="F3" s="20"/>
      <c r="G3" s="21"/>
      <c r="H3" s="19" t="s">
        <v>170</v>
      </c>
      <c r="I3" s="20"/>
      <c r="J3" s="20"/>
      <c r="K3" s="21"/>
      <c r="L3" s="19" t="s">
        <v>171</v>
      </c>
      <c r="M3" s="20"/>
      <c r="N3" s="20"/>
      <c r="O3" s="21"/>
      <c r="P3" s="19" t="s">
        <v>172</v>
      </c>
      <c r="Q3" s="20"/>
      <c r="R3" s="20"/>
      <c r="S3" s="21"/>
      <c r="T3" s="26" t="s">
        <v>99</v>
      </c>
      <c r="U3" s="7"/>
      <c r="V3" s="7"/>
      <c r="W3" s="7"/>
    </row>
    <row r="4" spans="1:25" x14ac:dyDescent="0.25">
      <c r="A4" s="2" t="s">
        <v>101</v>
      </c>
      <c r="B4" s="2" t="str" cm="1">
        <f t="array" ref="B4:S4">_xlfn.TEXTSPLIT(TRIM(A4), {" ",",",", "})</f>
        <v>Normal</v>
      </c>
      <c r="C4" s="9" t="str">
        <v>000000</v>
      </c>
      <c r="D4" s="22" t="str">
        <v>0</v>
      </c>
      <c r="E4" s="2" t="str">
        <v>0</v>
      </c>
      <c r="F4" s="2" t="str">
        <v>0</v>
      </c>
      <c r="G4" s="23" t="str">
        <v>+1</v>
      </c>
      <c r="H4" s="22" t="str">
        <v>0</v>
      </c>
      <c r="I4" s="2" t="str">
        <v>0</v>
      </c>
      <c r="J4" s="2" t="str">
        <v>+1</v>
      </c>
      <c r="K4" s="23" t="str">
        <v>0</v>
      </c>
      <c r="L4" s="22" t="str">
        <v>0</v>
      </c>
      <c r="M4" s="2" t="str">
        <v>+1</v>
      </c>
      <c r="N4" s="2" t="str">
        <v>+1</v>
      </c>
      <c r="O4" s="23" t="str">
        <v>+1</v>
      </c>
      <c r="P4" s="22" t="str">
        <v>0</v>
      </c>
      <c r="Q4" s="2" t="str">
        <v>+1</v>
      </c>
      <c r="R4" s="2" t="str">
        <v>0</v>
      </c>
      <c r="S4" s="23" t="str">
        <v>0</v>
      </c>
      <c r="T4" s="11" t="s">
        <v>514</v>
      </c>
      <c r="U4" s="2" t="s">
        <v>515</v>
      </c>
      <c r="V4" s="2" t="s">
        <v>516</v>
      </c>
      <c r="W4" s="2" t="s">
        <v>517</v>
      </c>
      <c r="X4" t="str">
        <f>"// Row: Sd_n[5:0] = " &amp; $C4 &amp; CHAR(10) &amp;
REPT(CHAR(9),4) &amp; SUBSTITUTE(T4,"3'sd-","-3'sd") &amp; CHAR(10) &amp;
REPT(CHAR(9),4) &amp; SUBSTITUTE(U4,"3'sd-","-3'sd") &amp; CHAR(10) &amp;
REPT(CHAR(9),4) &amp; SUBSTITUTE(V4,"3'sd-","-3'sd") &amp; CHAR(10) &amp;
REPT(CHAR(9),4) &amp; SUBSTITUTE(W4,"3'sd-","-3'sd") &amp; CHAR(10)</f>
        <v xml:space="preserve">// Row: Sd_n[5:0] = 000000
				{3'sd0,  3'sd0,  3'sd0,  3'sd+1} : sdn_recovered = {3'b001, 6'b000000}; // Col [001]
				{3'sd0,  3'sd0,  3'sd+1,  3'sd0} : sdn_recovered = {3'b011, 6'b000000}; // Col [011]
				{3'sd0,  3'sd+1,  3'sd+1,  3'sd+1} : sdn_recovered = {3'b101, 6'b000000}; // Col [101]
				{3'sd0,  3'sd+1,  3'sd0,  3'sd0} : sdn_recovered = {3'b111, 6'b000000}; // Col [111]
</v>
      </c>
      <c r="Y4" s="25"/>
    </row>
    <row r="5" spans="1:25" x14ac:dyDescent="0.25">
      <c r="A5" s="1" t="s">
        <v>102</v>
      </c>
      <c r="B5" s="1" t="str" cm="1">
        <f t="array" ref="B5:S5">_xlfn.TEXTSPLIT(TRIM(A5), {" ",",",", "})</f>
        <v>Normal</v>
      </c>
      <c r="C5" s="10" t="str">
        <v>000001</v>
      </c>
      <c r="D5" s="12" t="str">
        <v>-2</v>
      </c>
      <c r="E5" s="1" t="str">
        <v>0</v>
      </c>
      <c r="F5" s="1" t="str">
        <v>0</v>
      </c>
      <c r="G5" s="13" t="str">
        <v>+1</v>
      </c>
      <c r="H5" s="12" t="str">
        <v>-2</v>
      </c>
      <c r="I5" s="1" t="str">
        <v>0</v>
      </c>
      <c r="J5" s="1" t="str">
        <v>+1</v>
      </c>
      <c r="K5" s="13" t="str">
        <v>0</v>
      </c>
      <c r="L5" s="12" t="str">
        <v>-2</v>
      </c>
      <c r="M5" s="1" t="str">
        <v>+1</v>
      </c>
      <c r="N5" s="1" t="str">
        <v>+1</v>
      </c>
      <c r="O5" s="13" t="str">
        <v>+1</v>
      </c>
      <c r="P5" s="12" t="str">
        <v>-2</v>
      </c>
      <c r="Q5" s="1" t="str">
        <v>+1</v>
      </c>
      <c r="R5" s="1" t="str">
        <v>0</v>
      </c>
      <c r="S5" s="13" t="str">
        <v>0</v>
      </c>
      <c r="T5" s="11" t="s">
        <v>518</v>
      </c>
      <c r="U5" s="2" t="s">
        <v>519</v>
      </c>
      <c r="V5" s="2" t="s">
        <v>520</v>
      </c>
      <c r="W5" s="2" t="s">
        <v>521</v>
      </c>
      <c r="X5" t="str">
        <f t="shared" ref="X5:X68" si="0">"// Row: Sd_n[5:0] = " &amp; $C5 &amp; CHAR(10) &amp;
REPT(CHAR(9),4) &amp; SUBSTITUTE(T5,"3'sd-","-3'sd") &amp; CHAR(10) &amp;
REPT(CHAR(9),4) &amp; SUBSTITUTE(U5,"3'sd-","-3'sd") &amp; CHAR(10) &amp;
REPT(CHAR(9),4) &amp; SUBSTITUTE(V5,"3'sd-","-3'sd") &amp; CHAR(10) &amp;
REPT(CHAR(9),4) &amp; SUBSTITUTE(W5,"3'sd-","-3'sd") &amp; CHAR(10)</f>
        <v xml:space="preserve">// Row: Sd_n[5:0] = 000001
				{-3'sd2,  3'sd0,  3'sd0,  3'sd+1} : sdn_recovered = {3'b001, 6'b000001}; // Col [001]
				{-3'sd2,  3'sd0,  3'sd+1,  3'sd0} : sdn_recovered = {3'b011, 6'b000001}; // Col [011]
				{-3'sd2,  3'sd+1,  3'sd+1,  3'sd+1} : sdn_recovered = {3'b101, 6'b000001}; // Col [101]
				{-3'sd2,  3'sd+1,  3'sd0,  3'sd0} : sdn_recovered = {3'b111, 6'b000001}; // Col [111]
</v>
      </c>
      <c r="Y5" s="25"/>
    </row>
    <row r="6" spans="1:25" x14ac:dyDescent="0.25">
      <c r="A6" s="1" t="s">
        <v>103</v>
      </c>
      <c r="B6" s="1" t="str" cm="1">
        <f t="array" ref="B6:S6">_xlfn.TEXTSPLIT(TRIM(A6), {" ",",",", "})</f>
        <v>Normal</v>
      </c>
      <c r="C6" s="10" t="str">
        <v>000010</v>
      </c>
      <c r="D6" s="12" t="str">
        <v>0</v>
      </c>
      <c r="E6" s="1" t="str">
        <v>-2</v>
      </c>
      <c r="F6" s="1" t="str">
        <v>0</v>
      </c>
      <c r="G6" s="13" t="str">
        <v>+1</v>
      </c>
      <c r="H6" s="12" t="str">
        <v>0</v>
      </c>
      <c r="I6" s="1" t="str">
        <v>-2</v>
      </c>
      <c r="J6" s="1" t="str">
        <v>+1</v>
      </c>
      <c r="K6" s="13" t="str">
        <v>0</v>
      </c>
      <c r="L6" s="12" t="str">
        <v>0</v>
      </c>
      <c r="M6" s="1" t="str">
        <v>-1</v>
      </c>
      <c r="N6" s="1" t="str">
        <v>+1</v>
      </c>
      <c r="O6" s="13" t="str">
        <v>+1</v>
      </c>
      <c r="P6" s="12" t="str">
        <v>0</v>
      </c>
      <c r="Q6" s="1" t="str">
        <v>-1</v>
      </c>
      <c r="R6" s="1" t="str">
        <v>0</v>
      </c>
      <c r="S6" s="13" t="str">
        <v>0</v>
      </c>
      <c r="T6" s="11" t="s">
        <v>522</v>
      </c>
      <c r="U6" s="2" t="s">
        <v>523</v>
      </c>
      <c r="V6" s="2" t="s">
        <v>524</v>
      </c>
      <c r="W6" s="2" t="s">
        <v>525</v>
      </c>
      <c r="X6" t="str">
        <f t="shared" si="0"/>
        <v xml:space="preserve">// Row: Sd_n[5:0] = 000010
				{3'sd0,  -3'sd2,  3'sd0,  3'sd+1} : sdn_recovered = {3'b001, 6'b000010}; // Col [001]
				{3'sd0,  -3'sd2,  3'sd+1,  3'sd0} : sdn_recovered = {3'b011, 6'b000010}; // Col [011]
				{3'sd0,  -3'sd1,  3'sd+1,  3'sd+1} : sdn_recovered = {3'b101, 6'b000010}; // Col [101]
				{3'sd0,  -3'sd1,  3'sd0,  3'sd0} : sdn_recovered = {3'b111, 6'b000010}; // Col [111]
</v>
      </c>
      <c r="Y6" s="25"/>
    </row>
    <row r="7" spans="1:25" x14ac:dyDescent="0.25">
      <c r="A7" s="1" t="s">
        <v>104</v>
      </c>
      <c r="B7" s="1" t="str" cm="1">
        <f t="array" ref="B7:S7">_xlfn.TEXTSPLIT(TRIM(A7), {" ",",",", "})</f>
        <v>Normal</v>
      </c>
      <c r="C7" s="10" t="str">
        <v>000011</v>
      </c>
      <c r="D7" s="12" t="str">
        <v>-2</v>
      </c>
      <c r="E7" s="1" t="str">
        <v>-2</v>
      </c>
      <c r="F7" s="1" t="str">
        <v>0</v>
      </c>
      <c r="G7" s="13" t="str">
        <v>+1</v>
      </c>
      <c r="H7" s="12" t="str">
        <v>-2</v>
      </c>
      <c r="I7" s="1" t="str">
        <v>-2</v>
      </c>
      <c r="J7" s="1" t="str">
        <v>+1</v>
      </c>
      <c r="K7" s="13" t="str">
        <v>0</v>
      </c>
      <c r="L7" s="12" t="str">
        <v>-2</v>
      </c>
      <c r="M7" s="1" t="str">
        <v>-1</v>
      </c>
      <c r="N7" s="1" t="str">
        <v>+1</v>
      </c>
      <c r="O7" s="13" t="str">
        <v>+1</v>
      </c>
      <c r="P7" s="12" t="str">
        <v>-2</v>
      </c>
      <c r="Q7" s="1" t="str">
        <v>-1</v>
      </c>
      <c r="R7" s="1" t="str">
        <v>0</v>
      </c>
      <c r="S7" s="13" t="str">
        <v>0</v>
      </c>
      <c r="T7" s="11" t="s">
        <v>526</v>
      </c>
      <c r="U7" s="2" t="s">
        <v>527</v>
      </c>
      <c r="V7" s="2" t="s">
        <v>528</v>
      </c>
      <c r="W7" s="2" t="s">
        <v>529</v>
      </c>
      <c r="X7" t="str">
        <f t="shared" si="0"/>
        <v xml:space="preserve">// Row: Sd_n[5:0] = 000011
				{-3'sd2,  -3'sd2,  3'sd0,  3'sd+1} : sdn_recovered = {3'b001, 6'b000011}; // Col [001]
				{-3'sd2,  -3'sd2,  3'sd+1,  3'sd0} : sdn_recovered = {3'b011, 6'b000011}; // Col [011]
				{-3'sd2,  -3'sd1,  3'sd+1,  3'sd+1} : sdn_recovered = {3'b101, 6'b000011}; // Col [101]
				{-3'sd2,  -3'sd1,  3'sd0,  3'sd0} : sdn_recovered = {3'b111, 6'b000011}; // Col [111]
</v>
      </c>
      <c r="Y7" s="25"/>
    </row>
    <row r="8" spans="1:25" x14ac:dyDescent="0.25">
      <c r="A8" s="1" t="s">
        <v>105</v>
      </c>
      <c r="B8" s="1" t="str" cm="1">
        <f t="array" ref="B8:S8">_xlfn.TEXTSPLIT(TRIM(A8), {" ",",",", "})</f>
        <v>Normal</v>
      </c>
      <c r="C8" s="10" t="str">
        <v>000100</v>
      </c>
      <c r="D8" s="12" t="str">
        <v>0</v>
      </c>
      <c r="E8" s="1" t="str">
        <v>0</v>
      </c>
      <c r="F8" s="1" t="str">
        <v>-2</v>
      </c>
      <c r="G8" s="13" t="str">
        <v>+1</v>
      </c>
      <c r="H8" s="12" t="str">
        <v>0</v>
      </c>
      <c r="I8" s="1" t="str">
        <v>0</v>
      </c>
      <c r="J8" s="1" t="str">
        <v>-1</v>
      </c>
      <c r="K8" s="13" t="str">
        <v>0</v>
      </c>
      <c r="L8" s="12" t="str">
        <v>0</v>
      </c>
      <c r="M8" s="1" t="str">
        <v>+1</v>
      </c>
      <c r="N8" s="1" t="str">
        <v>-1</v>
      </c>
      <c r="O8" s="13" t="str">
        <v>+1</v>
      </c>
      <c r="P8" s="12" t="str">
        <v>0</v>
      </c>
      <c r="Q8" s="1" t="str">
        <v>+1</v>
      </c>
      <c r="R8" s="1" t="str">
        <v>-2</v>
      </c>
      <c r="S8" s="13" t="str">
        <v>0</v>
      </c>
      <c r="T8" s="11" t="s">
        <v>530</v>
      </c>
      <c r="U8" s="2" t="s">
        <v>531</v>
      </c>
      <c r="V8" s="2" t="s">
        <v>532</v>
      </c>
      <c r="W8" s="2" t="s">
        <v>533</v>
      </c>
      <c r="X8" t="str">
        <f t="shared" si="0"/>
        <v xml:space="preserve">// Row: Sd_n[5:0] = 000100
				{3'sd0,  3'sd0,  -3'sd2,  3'sd+1} : sdn_recovered = {3'b001, 6'b000100}; // Col [001]
				{3'sd0,  3'sd0,  -3'sd1,  3'sd0} : sdn_recovered = {3'b011, 6'b000100}; // Col [011]
				{3'sd0,  3'sd+1,  -3'sd1,  3'sd+1} : sdn_recovered = {3'b101, 6'b000100}; // Col [101]
				{3'sd0,  3'sd+1,  -3'sd2,  3'sd0} : sdn_recovered = {3'b111, 6'b000100}; // Col [111]
</v>
      </c>
      <c r="Y8" s="25"/>
    </row>
    <row r="9" spans="1:25" x14ac:dyDescent="0.25">
      <c r="A9" s="1" t="s">
        <v>106</v>
      </c>
      <c r="B9" s="1" t="str" cm="1">
        <f t="array" ref="B9:S9">_xlfn.TEXTSPLIT(TRIM(A9), {" ",",",", "})</f>
        <v>Normal</v>
      </c>
      <c r="C9" s="10" t="str">
        <v>000101</v>
      </c>
      <c r="D9" s="12" t="str">
        <v>-2</v>
      </c>
      <c r="E9" s="1" t="str">
        <v>0</v>
      </c>
      <c r="F9" s="1" t="str">
        <v>-2</v>
      </c>
      <c r="G9" s="13" t="str">
        <v>+1</v>
      </c>
      <c r="H9" s="12" t="str">
        <v>-2</v>
      </c>
      <c r="I9" s="1" t="str">
        <v>0</v>
      </c>
      <c r="J9" s="1" t="str">
        <v>-1</v>
      </c>
      <c r="K9" s="13" t="str">
        <v>0</v>
      </c>
      <c r="L9" s="12" t="str">
        <v>-2</v>
      </c>
      <c r="M9" s="1" t="str">
        <v>+1</v>
      </c>
      <c r="N9" s="1" t="str">
        <v>-1</v>
      </c>
      <c r="O9" s="13" t="str">
        <v>+1</v>
      </c>
      <c r="P9" s="12" t="str">
        <v>-2</v>
      </c>
      <c r="Q9" s="1" t="str">
        <v>+1</v>
      </c>
      <c r="R9" s="1" t="str">
        <v>-2</v>
      </c>
      <c r="S9" s="13" t="str">
        <v>0</v>
      </c>
      <c r="T9" s="11" t="s">
        <v>534</v>
      </c>
      <c r="U9" s="2" t="s">
        <v>535</v>
      </c>
      <c r="V9" s="2" t="s">
        <v>536</v>
      </c>
      <c r="W9" s="2" t="s">
        <v>537</v>
      </c>
      <c r="X9" t="str">
        <f t="shared" si="0"/>
        <v xml:space="preserve">// Row: Sd_n[5:0] = 000101
				{-3'sd2,  3'sd0,  -3'sd2,  3'sd+1} : sdn_recovered = {3'b001, 6'b000101}; // Col [001]
				{-3'sd2,  3'sd0,  -3'sd1,  3'sd0} : sdn_recovered = {3'b011, 6'b000101}; // Col [011]
				{-3'sd2,  3'sd+1,  -3'sd1,  3'sd+1} : sdn_recovered = {3'b101, 6'b000101}; // Col [101]
				{-3'sd2,  3'sd+1,  -3'sd2,  3'sd0} : sdn_recovered = {3'b111, 6'b000101}; // Col [111]
</v>
      </c>
      <c r="Y9" s="25"/>
    </row>
    <row r="10" spans="1:25" x14ac:dyDescent="0.25">
      <c r="A10" s="1" t="s">
        <v>107</v>
      </c>
      <c r="B10" s="1" t="str" cm="1">
        <f t="array" ref="B10:S10">_xlfn.TEXTSPLIT(TRIM(A10), {" ",",",", "})</f>
        <v>Normal</v>
      </c>
      <c r="C10" s="10" t="str">
        <v>000110</v>
      </c>
      <c r="D10" s="12" t="str">
        <v>0</v>
      </c>
      <c r="E10" s="1" t="str">
        <v>-2</v>
      </c>
      <c r="F10" s="1" t="str">
        <v>-2</v>
      </c>
      <c r="G10" s="13" t="str">
        <v>+1</v>
      </c>
      <c r="H10" s="12" t="str">
        <v>0</v>
      </c>
      <c r="I10" s="1" t="str">
        <v>-2</v>
      </c>
      <c r="J10" s="1" t="str">
        <v>-1</v>
      </c>
      <c r="K10" s="13" t="str">
        <v>0</v>
      </c>
      <c r="L10" s="12" t="str">
        <v>0</v>
      </c>
      <c r="M10" s="1" t="str">
        <v>-1</v>
      </c>
      <c r="N10" s="1" t="str">
        <v>-1</v>
      </c>
      <c r="O10" s="13" t="str">
        <v>+1</v>
      </c>
      <c r="P10" s="12" t="str">
        <v>0</v>
      </c>
      <c r="Q10" s="1" t="str">
        <v>-1</v>
      </c>
      <c r="R10" s="1" t="str">
        <v>-2</v>
      </c>
      <c r="S10" s="13" t="str">
        <v>0</v>
      </c>
      <c r="T10" s="11" t="s">
        <v>538</v>
      </c>
      <c r="U10" s="2" t="s">
        <v>539</v>
      </c>
      <c r="V10" s="2" t="s">
        <v>540</v>
      </c>
      <c r="W10" s="2" t="s">
        <v>541</v>
      </c>
      <c r="X10" t="str">
        <f t="shared" si="0"/>
        <v xml:space="preserve">// Row: Sd_n[5:0] = 000110
				{3'sd0,  -3'sd2,  -3'sd2,  3'sd+1} : sdn_recovered = {3'b001, 6'b000110}; // Col [001]
				{3'sd0,  -3'sd2,  -3'sd1,  3'sd0} : sdn_recovered = {3'b011, 6'b000110}; // Col [011]
				{3'sd0,  -3'sd1,  -3'sd1,  3'sd+1} : sdn_recovered = {3'b101, 6'b000110}; // Col [101]
				{3'sd0,  -3'sd1,  -3'sd2,  3'sd0} : sdn_recovered = {3'b111, 6'b000110}; // Col [111]
</v>
      </c>
      <c r="Y10" s="25"/>
    </row>
    <row r="11" spans="1:25" x14ac:dyDescent="0.25">
      <c r="A11" s="1" t="s">
        <v>108</v>
      </c>
      <c r="B11" s="1" t="str" cm="1">
        <f t="array" ref="B11:S11">_xlfn.TEXTSPLIT(TRIM(A11), {" ",",",", "})</f>
        <v>Normal</v>
      </c>
      <c r="C11" s="10" t="str">
        <v>000111</v>
      </c>
      <c r="D11" s="12" t="str">
        <v>-2</v>
      </c>
      <c r="E11" s="1" t="str">
        <v>-2</v>
      </c>
      <c r="F11" s="1" t="str">
        <v>-2</v>
      </c>
      <c r="G11" s="13" t="str">
        <v>+1</v>
      </c>
      <c r="H11" s="12" t="str">
        <v>-2</v>
      </c>
      <c r="I11" s="1" t="str">
        <v>-2</v>
      </c>
      <c r="J11" s="1" t="str">
        <v>-1</v>
      </c>
      <c r="K11" s="13" t="str">
        <v>0</v>
      </c>
      <c r="L11" s="12" t="str">
        <v>-2</v>
      </c>
      <c r="M11" s="1" t="str">
        <v>-1</v>
      </c>
      <c r="N11" s="1" t="str">
        <v>-1</v>
      </c>
      <c r="O11" s="13" t="str">
        <v>+1</v>
      </c>
      <c r="P11" s="12" t="str">
        <v>-2</v>
      </c>
      <c r="Q11" s="1" t="str">
        <v>-1</v>
      </c>
      <c r="R11" s="1" t="str">
        <v>-2</v>
      </c>
      <c r="S11" s="13" t="str">
        <v>0</v>
      </c>
      <c r="T11" s="11" t="s">
        <v>542</v>
      </c>
      <c r="U11" s="2" t="s">
        <v>543</v>
      </c>
      <c r="V11" s="2" t="s">
        <v>544</v>
      </c>
      <c r="W11" s="2" t="s">
        <v>545</v>
      </c>
      <c r="X11" t="str">
        <f t="shared" si="0"/>
        <v xml:space="preserve">// Row: Sd_n[5:0] = 000111
				{-3'sd2,  -3'sd2,  -3'sd2,  3'sd+1} : sdn_recovered = {3'b001, 6'b000111}; // Col [001]
				{-3'sd2,  -3'sd2,  -3'sd1,  3'sd0} : sdn_recovered = {3'b011, 6'b000111}; // Col [011]
				{-3'sd2,  -3'sd1,  -3'sd1,  3'sd+1} : sdn_recovered = {3'b101, 6'b000111}; // Col [101]
				{-3'sd2,  -3'sd1,  -3'sd2,  3'sd0} : sdn_recovered = {3'b111, 6'b000111}; // Col [111]
</v>
      </c>
      <c r="Y11" s="25"/>
    </row>
    <row r="12" spans="1:25" x14ac:dyDescent="0.25">
      <c r="A12" s="1" t="s">
        <v>109</v>
      </c>
      <c r="B12" s="1" t="str" cm="1">
        <f t="array" ref="B12:S12">_xlfn.TEXTSPLIT(TRIM(A12), {" ",",",", "})</f>
        <v>Normal</v>
      </c>
      <c r="C12" s="10" t="str">
        <v>001000</v>
      </c>
      <c r="D12" s="12" t="str">
        <v>0</v>
      </c>
      <c r="E12" s="1" t="str">
        <v>0</v>
      </c>
      <c r="F12" s="1" t="str">
        <v>0</v>
      </c>
      <c r="G12" s="13" t="str">
        <v>-1</v>
      </c>
      <c r="H12" s="12" t="str">
        <v>0</v>
      </c>
      <c r="I12" s="1" t="str">
        <v>0</v>
      </c>
      <c r="J12" s="1" t="str">
        <v>+1</v>
      </c>
      <c r="K12" s="13" t="str">
        <v>-2</v>
      </c>
      <c r="L12" s="12" t="str">
        <v>0</v>
      </c>
      <c r="M12" s="1" t="str">
        <v>+1</v>
      </c>
      <c r="N12" s="1" t="str">
        <v>+1</v>
      </c>
      <c r="O12" s="13" t="str">
        <v>-1</v>
      </c>
      <c r="P12" s="12" t="str">
        <v>0</v>
      </c>
      <c r="Q12" s="1" t="str">
        <v>+1</v>
      </c>
      <c r="R12" s="1" t="str">
        <v>0</v>
      </c>
      <c r="S12" s="13" t="str">
        <v>-2</v>
      </c>
      <c r="T12" s="11" t="s">
        <v>546</v>
      </c>
      <c r="U12" s="2" t="s">
        <v>547</v>
      </c>
      <c r="V12" s="2" t="s">
        <v>548</v>
      </c>
      <c r="W12" s="2" t="s">
        <v>549</v>
      </c>
      <c r="X12" t="str">
        <f t="shared" si="0"/>
        <v xml:space="preserve">// Row: Sd_n[5:0] = 001000
				{3'sd0,  3'sd0,  3'sd0,  -3'sd1} : sdn_recovered = {3'b001, 6'b001000}; // Col [001]
				{3'sd0,  3'sd0,  3'sd+1,  -3'sd2} : sdn_recovered = {3'b011, 6'b001000}; // Col [011]
				{3'sd0,  3'sd+1,  3'sd+1,  -3'sd1} : sdn_recovered = {3'b101, 6'b001000}; // Col [101]
				{3'sd0,  3'sd+1,  3'sd0,  -3'sd2} : sdn_recovered = {3'b111, 6'b001000}; // Col [111]
</v>
      </c>
      <c r="Y12" s="25"/>
    </row>
    <row r="13" spans="1:25" x14ac:dyDescent="0.25">
      <c r="A13" s="1" t="s">
        <v>110</v>
      </c>
      <c r="B13" s="1" t="str" cm="1">
        <f t="array" ref="B13:S13">_xlfn.TEXTSPLIT(TRIM(A13), {" ",",",", "})</f>
        <v>Normal</v>
      </c>
      <c r="C13" s="10" t="str">
        <v>001001</v>
      </c>
      <c r="D13" s="12" t="str">
        <v>-2</v>
      </c>
      <c r="E13" s="1" t="str">
        <v>0</v>
      </c>
      <c r="F13" s="1" t="str">
        <v>0</v>
      </c>
      <c r="G13" s="13" t="str">
        <v>-1</v>
      </c>
      <c r="H13" s="12" t="str">
        <v>-2</v>
      </c>
      <c r="I13" s="1" t="str">
        <v>0</v>
      </c>
      <c r="J13" s="1" t="str">
        <v>+1</v>
      </c>
      <c r="K13" s="13" t="str">
        <v>-2</v>
      </c>
      <c r="L13" s="12" t="str">
        <v>-2</v>
      </c>
      <c r="M13" s="1" t="str">
        <v>+1</v>
      </c>
      <c r="N13" s="1" t="str">
        <v>+1</v>
      </c>
      <c r="O13" s="13" t="str">
        <v>-1</v>
      </c>
      <c r="P13" s="12" t="str">
        <v>-2</v>
      </c>
      <c r="Q13" s="1" t="str">
        <v>+1</v>
      </c>
      <c r="R13" s="1" t="str">
        <v>0</v>
      </c>
      <c r="S13" s="13" t="str">
        <v>-2</v>
      </c>
      <c r="T13" s="11" t="s">
        <v>550</v>
      </c>
      <c r="U13" s="2" t="s">
        <v>551</v>
      </c>
      <c r="V13" s="2" t="s">
        <v>552</v>
      </c>
      <c r="W13" s="2" t="s">
        <v>553</v>
      </c>
      <c r="X13" t="str">
        <f t="shared" si="0"/>
        <v xml:space="preserve">// Row: Sd_n[5:0] = 001001
				{-3'sd2,  3'sd0,  3'sd0,  -3'sd1} : sdn_recovered = {3'b001, 6'b001001}; // Col [001]
				{-3'sd2,  3'sd0,  3'sd+1,  -3'sd2} : sdn_recovered = {3'b011, 6'b001001}; // Col [011]
				{-3'sd2,  3'sd+1,  3'sd+1,  -3'sd1} : sdn_recovered = {3'b101, 6'b001001}; // Col [101]
				{-3'sd2,  3'sd+1,  3'sd0,  -3'sd2} : sdn_recovered = {3'b111, 6'b001001}; // Col [111]
</v>
      </c>
      <c r="Y13" s="25"/>
    </row>
    <row r="14" spans="1:25" x14ac:dyDescent="0.25">
      <c r="A14" s="1" t="s">
        <v>111</v>
      </c>
      <c r="B14" s="1" t="str" cm="1">
        <f t="array" ref="B14:S14">_xlfn.TEXTSPLIT(TRIM(A14), {" ",",",", "})</f>
        <v>Normal</v>
      </c>
      <c r="C14" s="10" t="str">
        <v>001010</v>
      </c>
      <c r="D14" s="12" t="str">
        <v>0</v>
      </c>
      <c r="E14" s="1" t="str">
        <v>-2</v>
      </c>
      <c r="F14" s="1" t="str">
        <v>0</v>
      </c>
      <c r="G14" s="13" t="str">
        <v>-1</v>
      </c>
      <c r="H14" s="12" t="str">
        <v>0</v>
      </c>
      <c r="I14" s="1" t="str">
        <v>-2</v>
      </c>
      <c r="J14" s="1" t="str">
        <v>+1</v>
      </c>
      <c r="K14" s="13" t="str">
        <v>-2</v>
      </c>
      <c r="L14" s="12" t="str">
        <v>0</v>
      </c>
      <c r="M14" s="1" t="str">
        <v>-1</v>
      </c>
      <c r="N14" s="1" t="str">
        <v>+1</v>
      </c>
      <c r="O14" s="13" t="str">
        <v>-1</v>
      </c>
      <c r="P14" s="12" t="str">
        <v>0</v>
      </c>
      <c r="Q14" s="1" t="str">
        <v>-1</v>
      </c>
      <c r="R14" s="1" t="str">
        <v>0</v>
      </c>
      <c r="S14" s="13" t="str">
        <v>-2</v>
      </c>
      <c r="T14" s="11" t="s">
        <v>554</v>
      </c>
      <c r="U14" s="2" t="s">
        <v>555</v>
      </c>
      <c r="V14" s="2" t="s">
        <v>556</v>
      </c>
      <c r="W14" s="2" t="s">
        <v>557</v>
      </c>
      <c r="X14" t="str">
        <f t="shared" si="0"/>
        <v xml:space="preserve">// Row: Sd_n[5:0] = 001010
				{3'sd0,  -3'sd2,  3'sd0,  -3'sd1} : sdn_recovered = {3'b001, 6'b001010}; // Col [001]
				{3'sd0,  -3'sd2,  3'sd+1,  -3'sd2} : sdn_recovered = {3'b011, 6'b001010}; // Col [011]
				{3'sd0,  -3'sd1,  3'sd+1,  -3'sd1} : sdn_recovered = {3'b101, 6'b001010}; // Col [101]
				{3'sd0,  -3'sd1,  3'sd0,  -3'sd2} : sdn_recovered = {3'b111, 6'b001010}; // Col [111]
</v>
      </c>
      <c r="Y14" s="25"/>
    </row>
    <row r="15" spans="1:25" x14ac:dyDescent="0.25">
      <c r="A15" s="1" t="s">
        <v>112</v>
      </c>
      <c r="B15" s="1" t="str" cm="1">
        <f t="array" ref="B15:S15">_xlfn.TEXTSPLIT(TRIM(A15), {" ",",",", "})</f>
        <v>Normal</v>
      </c>
      <c r="C15" s="10" t="str">
        <v>001011</v>
      </c>
      <c r="D15" s="12" t="str">
        <v>-2</v>
      </c>
      <c r="E15" s="1" t="str">
        <v>-2</v>
      </c>
      <c r="F15" s="1" t="str">
        <v>0</v>
      </c>
      <c r="G15" s="13" t="str">
        <v>-1</v>
      </c>
      <c r="H15" s="12" t="str">
        <v>-2</v>
      </c>
      <c r="I15" s="1" t="str">
        <v>-2</v>
      </c>
      <c r="J15" s="1" t="str">
        <v>+1</v>
      </c>
      <c r="K15" s="13" t="str">
        <v>-2</v>
      </c>
      <c r="L15" s="12" t="str">
        <v>-2</v>
      </c>
      <c r="M15" s="1" t="str">
        <v>-1</v>
      </c>
      <c r="N15" s="1" t="str">
        <v>+1</v>
      </c>
      <c r="O15" s="13" t="str">
        <v>-1</v>
      </c>
      <c r="P15" s="12" t="str">
        <v>-2</v>
      </c>
      <c r="Q15" s="1" t="str">
        <v>-1</v>
      </c>
      <c r="R15" s="1" t="str">
        <v>0</v>
      </c>
      <c r="S15" s="13" t="str">
        <v>-2</v>
      </c>
      <c r="T15" s="11" t="s">
        <v>558</v>
      </c>
      <c r="U15" s="2" t="s">
        <v>559</v>
      </c>
      <c r="V15" s="2" t="s">
        <v>560</v>
      </c>
      <c r="W15" s="2" t="s">
        <v>561</v>
      </c>
      <c r="X15" t="str">
        <f t="shared" si="0"/>
        <v xml:space="preserve">// Row: Sd_n[5:0] = 001011
				{-3'sd2,  -3'sd2,  3'sd0,  -3'sd1} : sdn_recovered = {3'b001, 6'b001011}; // Col [001]
				{-3'sd2,  -3'sd2,  3'sd+1,  -3'sd2} : sdn_recovered = {3'b011, 6'b001011}; // Col [011]
				{-3'sd2,  -3'sd1,  3'sd+1,  -3'sd1} : sdn_recovered = {3'b101, 6'b001011}; // Col [101]
				{-3'sd2,  -3'sd1,  3'sd0,  -3'sd2} : sdn_recovered = {3'b111, 6'b001011}; // Col [111]
</v>
      </c>
      <c r="Y15" s="25"/>
    </row>
    <row r="16" spans="1:25" x14ac:dyDescent="0.25">
      <c r="A16" s="1" t="s">
        <v>113</v>
      </c>
      <c r="B16" s="1" t="str" cm="1">
        <f t="array" ref="B16:S16">_xlfn.TEXTSPLIT(TRIM(A16), {" ",",",", "})</f>
        <v>Normal</v>
      </c>
      <c r="C16" s="10" t="str">
        <v>001100</v>
      </c>
      <c r="D16" s="12" t="str">
        <v>0</v>
      </c>
      <c r="E16" s="1" t="str">
        <v>0</v>
      </c>
      <c r="F16" s="1" t="str">
        <v>-2</v>
      </c>
      <c r="G16" s="13" t="str">
        <v>-1</v>
      </c>
      <c r="H16" s="12" t="str">
        <v>0</v>
      </c>
      <c r="I16" s="1" t="str">
        <v>0</v>
      </c>
      <c r="J16" s="1" t="str">
        <v>-1</v>
      </c>
      <c r="K16" s="13" t="str">
        <v>-2</v>
      </c>
      <c r="L16" s="12" t="str">
        <v>0</v>
      </c>
      <c r="M16" s="1" t="str">
        <v>+1</v>
      </c>
      <c r="N16" s="1" t="str">
        <v>-1</v>
      </c>
      <c r="O16" s="13" t="str">
        <v>-1</v>
      </c>
      <c r="P16" s="12" t="str">
        <v>0</v>
      </c>
      <c r="Q16" s="1" t="str">
        <v>+1</v>
      </c>
      <c r="R16" s="1" t="str">
        <v>-2</v>
      </c>
      <c r="S16" s="13" t="str">
        <v>-2</v>
      </c>
      <c r="T16" s="11" t="s">
        <v>562</v>
      </c>
      <c r="U16" s="2" t="s">
        <v>563</v>
      </c>
      <c r="V16" s="2" t="s">
        <v>564</v>
      </c>
      <c r="W16" s="2" t="s">
        <v>565</v>
      </c>
      <c r="X16" t="str">
        <f t="shared" si="0"/>
        <v xml:space="preserve">// Row: Sd_n[5:0] = 001100
				{3'sd0,  3'sd0,  -3'sd2,  -3'sd1} : sdn_recovered = {3'b001, 6'b001100}; // Col [001]
				{3'sd0,  3'sd0,  -3'sd1,  -3'sd2} : sdn_recovered = {3'b011, 6'b001100}; // Col [011]
				{3'sd0,  3'sd+1,  -3'sd1,  -3'sd1} : sdn_recovered = {3'b101, 6'b001100}; // Col [101]
				{3'sd0,  3'sd+1,  -3'sd2,  -3'sd2} : sdn_recovered = {3'b111, 6'b001100}; // Col [111]
</v>
      </c>
      <c r="Y16" s="25"/>
    </row>
    <row r="17" spans="1:25" x14ac:dyDescent="0.25">
      <c r="A17" s="1" t="s">
        <v>114</v>
      </c>
      <c r="B17" s="1" t="str" cm="1">
        <f t="array" ref="B17:S17">_xlfn.TEXTSPLIT(TRIM(A17), {" ",",",", "})</f>
        <v>Normal</v>
      </c>
      <c r="C17" s="10" t="str">
        <v>001101</v>
      </c>
      <c r="D17" s="12" t="str">
        <v>-2</v>
      </c>
      <c r="E17" s="1" t="str">
        <v>0</v>
      </c>
      <c r="F17" s="1" t="str">
        <v>-2</v>
      </c>
      <c r="G17" s="13" t="str">
        <v>-1</v>
      </c>
      <c r="H17" s="12" t="str">
        <v>-2</v>
      </c>
      <c r="I17" s="1" t="str">
        <v>0</v>
      </c>
      <c r="J17" s="1" t="str">
        <v>-1</v>
      </c>
      <c r="K17" s="13" t="str">
        <v>-2</v>
      </c>
      <c r="L17" s="12" t="str">
        <v>-2</v>
      </c>
      <c r="M17" s="1" t="str">
        <v>+1</v>
      </c>
      <c r="N17" s="1" t="str">
        <v>-1</v>
      </c>
      <c r="O17" s="13" t="str">
        <v>-1</v>
      </c>
      <c r="P17" s="12" t="str">
        <v>-2</v>
      </c>
      <c r="Q17" s="1" t="str">
        <v>+1</v>
      </c>
      <c r="R17" s="1" t="str">
        <v>-2</v>
      </c>
      <c r="S17" s="13" t="str">
        <v>-2</v>
      </c>
      <c r="T17" s="11" t="s">
        <v>566</v>
      </c>
      <c r="U17" s="2" t="s">
        <v>567</v>
      </c>
      <c r="V17" s="2" t="s">
        <v>568</v>
      </c>
      <c r="W17" s="2" t="s">
        <v>569</v>
      </c>
      <c r="X17" t="str">
        <f t="shared" si="0"/>
        <v xml:space="preserve">// Row: Sd_n[5:0] = 001101
				{-3'sd2,  3'sd0,  -3'sd2,  -3'sd1} : sdn_recovered = {3'b001, 6'b001101}; // Col [001]
				{-3'sd2,  3'sd0,  -3'sd1,  -3'sd2} : sdn_recovered = {3'b011, 6'b001101}; // Col [011]
				{-3'sd2,  3'sd+1,  -3'sd1,  -3'sd1} : sdn_recovered = {3'b101, 6'b001101}; // Col [101]
				{-3'sd2,  3'sd+1,  -3'sd2,  -3'sd2} : sdn_recovered = {3'b111, 6'b001101}; // Col [111]
</v>
      </c>
      <c r="Y17" s="25"/>
    </row>
    <row r="18" spans="1:25" x14ac:dyDescent="0.25">
      <c r="A18" s="1" t="s">
        <v>115</v>
      </c>
      <c r="B18" s="1" t="str" cm="1">
        <f t="array" ref="B18:S18">_xlfn.TEXTSPLIT(TRIM(A18), {" ",",",", "})</f>
        <v>Normal</v>
      </c>
      <c r="C18" s="10" t="str">
        <v>001110</v>
      </c>
      <c r="D18" s="12" t="str">
        <v>0</v>
      </c>
      <c r="E18" s="1" t="str">
        <v>-2</v>
      </c>
      <c r="F18" s="1" t="str">
        <v>-2</v>
      </c>
      <c r="G18" s="13" t="str">
        <v>-1</v>
      </c>
      <c r="H18" s="12" t="str">
        <v>0</v>
      </c>
      <c r="I18" s="1" t="str">
        <v>-2</v>
      </c>
      <c r="J18" s="1" t="str">
        <v>-1</v>
      </c>
      <c r="K18" s="13" t="str">
        <v>-2</v>
      </c>
      <c r="L18" s="12" t="str">
        <v>0</v>
      </c>
      <c r="M18" s="1" t="str">
        <v>-1</v>
      </c>
      <c r="N18" s="1" t="str">
        <v>-1</v>
      </c>
      <c r="O18" s="13" t="str">
        <v>-1</v>
      </c>
      <c r="P18" s="12" t="str">
        <v>0</v>
      </c>
      <c r="Q18" s="1" t="str">
        <v>-1</v>
      </c>
      <c r="R18" s="1" t="str">
        <v>-2</v>
      </c>
      <c r="S18" s="13" t="str">
        <v>-2</v>
      </c>
      <c r="T18" s="11" t="s">
        <v>570</v>
      </c>
      <c r="U18" s="2" t="s">
        <v>571</v>
      </c>
      <c r="V18" s="2" t="s">
        <v>572</v>
      </c>
      <c r="W18" s="2" t="s">
        <v>573</v>
      </c>
      <c r="X18" t="str">
        <f t="shared" si="0"/>
        <v xml:space="preserve">// Row: Sd_n[5:0] = 001110
				{3'sd0,  -3'sd2,  -3'sd2,  -3'sd1} : sdn_recovered = {3'b001, 6'b001110}; // Col [001]
				{3'sd0,  -3'sd2,  -3'sd1,  -3'sd2} : sdn_recovered = {3'b011, 6'b001110}; // Col [011]
				{3'sd0,  -3'sd1,  -3'sd1,  -3'sd1} : sdn_recovered = {3'b101, 6'b001110}; // Col [101]
				{3'sd0,  -3'sd1,  -3'sd2,  -3'sd2} : sdn_recovered = {3'b111, 6'b001110}; // Col [111]
</v>
      </c>
      <c r="Y18" s="25"/>
    </row>
    <row r="19" spans="1:25" x14ac:dyDescent="0.25">
      <c r="A19" s="1" t="s">
        <v>116</v>
      </c>
      <c r="B19" s="1" t="str" cm="1">
        <f t="array" ref="B19:S19">_xlfn.TEXTSPLIT(TRIM(A19), {" ",",",", "})</f>
        <v>Normal</v>
      </c>
      <c r="C19" s="10" t="str">
        <v>001111</v>
      </c>
      <c r="D19" s="12" t="str">
        <v>-2</v>
      </c>
      <c r="E19" s="1" t="str">
        <v>-2</v>
      </c>
      <c r="F19" s="1" t="str">
        <v>-2</v>
      </c>
      <c r="G19" s="13" t="str">
        <v>-1</v>
      </c>
      <c r="H19" s="12" t="str">
        <v>-2</v>
      </c>
      <c r="I19" s="1" t="str">
        <v>-2</v>
      </c>
      <c r="J19" s="1" t="str">
        <v>-1</v>
      </c>
      <c r="K19" s="13" t="str">
        <v>-2</v>
      </c>
      <c r="L19" s="12" t="str">
        <v>-2</v>
      </c>
      <c r="M19" s="1" t="str">
        <v>-1</v>
      </c>
      <c r="N19" s="1" t="str">
        <v>-1</v>
      </c>
      <c r="O19" s="13" t="str">
        <v>-1</v>
      </c>
      <c r="P19" s="12" t="str">
        <v>-2</v>
      </c>
      <c r="Q19" s="1" t="str">
        <v>-1</v>
      </c>
      <c r="R19" s="1" t="str">
        <v>-2</v>
      </c>
      <c r="S19" s="13" t="str">
        <v>-2</v>
      </c>
      <c r="T19" s="11" t="s">
        <v>574</v>
      </c>
      <c r="U19" s="2" t="s">
        <v>575</v>
      </c>
      <c r="V19" s="2" t="s">
        <v>576</v>
      </c>
      <c r="W19" s="2" t="s">
        <v>577</v>
      </c>
      <c r="X19" t="str">
        <f t="shared" si="0"/>
        <v xml:space="preserve">// Row: Sd_n[5:0] = 001111
				{-3'sd2,  -3'sd2,  -3'sd2,  -3'sd1} : sdn_recovered = {3'b001, 6'b001111}; // Col [001]
				{-3'sd2,  -3'sd2,  -3'sd1,  -3'sd2} : sdn_recovered = {3'b011, 6'b001111}; // Col [011]
				{-3'sd2,  -3'sd1,  -3'sd1,  -3'sd1} : sdn_recovered = {3'b101, 6'b001111}; // Col [101]
				{-3'sd2,  -3'sd1,  -3'sd2,  -3'sd2} : sdn_recovered = {3'b111, 6'b001111}; // Col [111]
</v>
      </c>
      <c r="Y19" s="25"/>
    </row>
    <row r="20" spans="1:25" x14ac:dyDescent="0.25">
      <c r="A20" s="1" t="s">
        <v>117</v>
      </c>
      <c r="B20" s="1" t="str" cm="1">
        <f t="array" ref="B20:S20">_xlfn.TEXTSPLIT(TRIM(A20), {" ",",",", "})</f>
        <v>Normal</v>
      </c>
      <c r="C20" s="10" t="str">
        <v>010000</v>
      </c>
      <c r="D20" s="12" t="str">
        <v>+1</v>
      </c>
      <c r="E20" s="1" t="str">
        <v>+1</v>
      </c>
      <c r="F20" s="1" t="str">
        <v>+1</v>
      </c>
      <c r="G20" s="13" t="str">
        <v>0</v>
      </c>
      <c r="H20" s="12" t="str">
        <v>+1</v>
      </c>
      <c r="I20" s="1" t="str">
        <v>+1</v>
      </c>
      <c r="J20" s="1" t="str">
        <v>0</v>
      </c>
      <c r="K20" s="13" t="str">
        <v>+1</v>
      </c>
      <c r="L20" s="12" t="str">
        <v>+1</v>
      </c>
      <c r="M20" s="1" t="str">
        <v>0</v>
      </c>
      <c r="N20" s="1" t="str">
        <v>0</v>
      </c>
      <c r="O20" s="13" t="str">
        <v>0</v>
      </c>
      <c r="P20" s="12" t="str">
        <v>+1</v>
      </c>
      <c r="Q20" s="1" t="str">
        <v>0</v>
      </c>
      <c r="R20" s="1" t="str">
        <v>+1</v>
      </c>
      <c r="S20" s="13" t="str">
        <v>+1</v>
      </c>
      <c r="T20" s="11" t="s">
        <v>578</v>
      </c>
      <c r="U20" s="2" t="s">
        <v>579</v>
      </c>
      <c r="V20" s="2" t="s">
        <v>580</v>
      </c>
      <c r="W20" s="2" t="s">
        <v>581</v>
      </c>
      <c r="X20" t="str">
        <f t="shared" si="0"/>
        <v xml:space="preserve">// Row: Sd_n[5:0] = 010000
				{3'sd+1,  3'sd+1,  3'sd+1,  3'sd0} : sdn_recovered = {3'b001, 6'b010000}; // Col [001]
				{3'sd+1,  3'sd+1,  3'sd0,  3'sd+1} : sdn_recovered = {3'b011, 6'b010000}; // Col [011]
				{3'sd+1,  3'sd0,  3'sd0,  3'sd0} : sdn_recovered = {3'b101, 6'b010000}; // Col [101]
				{3'sd+1,  3'sd0,  3'sd+1,  3'sd+1} : sdn_recovered = {3'b111, 6'b010000}; // Col [111]
</v>
      </c>
      <c r="Y20" s="25"/>
    </row>
    <row r="21" spans="1:25" x14ac:dyDescent="0.25">
      <c r="A21" s="1" t="s">
        <v>118</v>
      </c>
      <c r="B21" s="1" t="str" cm="1">
        <f t="array" ref="B21:S21">_xlfn.TEXTSPLIT(TRIM(A21), {" ",",",", "})</f>
        <v>Normal</v>
      </c>
      <c r="C21" s="10" t="str">
        <v>010001</v>
      </c>
      <c r="D21" s="12" t="str">
        <v>-1</v>
      </c>
      <c r="E21" s="1" t="str">
        <v>+1</v>
      </c>
      <c r="F21" s="1" t="str">
        <v>+1</v>
      </c>
      <c r="G21" s="13" t="str">
        <v>0</v>
      </c>
      <c r="H21" s="12" t="str">
        <v>-1</v>
      </c>
      <c r="I21" s="1" t="str">
        <v>+1</v>
      </c>
      <c r="J21" s="1" t="str">
        <v>0</v>
      </c>
      <c r="K21" s="13" t="str">
        <v>+1</v>
      </c>
      <c r="L21" s="12" t="str">
        <v>-1</v>
      </c>
      <c r="M21" s="1" t="str">
        <v>0</v>
      </c>
      <c r="N21" s="1" t="str">
        <v>0</v>
      </c>
      <c r="O21" s="13" t="str">
        <v>0</v>
      </c>
      <c r="P21" s="12" t="str">
        <v>-1</v>
      </c>
      <c r="Q21" s="1" t="str">
        <v>0</v>
      </c>
      <c r="R21" s="1" t="str">
        <v>+1</v>
      </c>
      <c r="S21" s="13" t="str">
        <v>+1</v>
      </c>
      <c r="T21" s="11" t="s">
        <v>582</v>
      </c>
      <c r="U21" s="2" t="s">
        <v>583</v>
      </c>
      <c r="V21" s="2" t="s">
        <v>584</v>
      </c>
      <c r="W21" s="2" t="s">
        <v>585</v>
      </c>
      <c r="X21" t="str">
        <f t="shared" si="0"/>
        <v xml:space="preserve">// Row: Sd_n[5:0] = 010001
				{-3'sd1,  3'sd+1,  3'sd+1,  3'sd0} : sdn_recovered = {3'b001, 6'b010001}; // Col [001]
				{-3'sd1,  3'sd+1,  3'sd0,  3'sd+1} : sdn_recovered = {3'b011, 6'b010001}; // Col [011]
				{-3'sd1,  3'sd0,  3'sd0,  3'sd0} : sdn_recovered = {3'b101, 6'b010001}; // Col [101]
				{-3'sd1,  3'sd0,  3'sd+1,  3'sd+1} : sdn_recovered = {3'b111, 6'b010001}; // Col [111]
</v>
      </c>
      <c r="Y21" s="25"/>
    </row>
    <row r="22" spans="1:25" x14ac:dyDescent="0.25">
      <c r="A22" s="1" t="s">
        <v>119</v>
      </c>
      <c r="B22" s="1" t="str" cm="1">
        <f t="array" ref="B22:S22">_xlfn.TEXTSPLIT(TRIM(A22), {" ",",",", "})</f>
        <v>Normal</v>
      </c>
      <c r="C22" s="10" t="str">
        <v>010010</v>
      </c>
      <c r="D22" s="12" t="str">
        <v>+1</v>
      </c>
      <c r="E22" s="1" t="str">
        <v>-1</v>
      </c>
      <c r="F22" s="1" t="str">
        <v>+1</v>
      </c>
      <c r="G22" s="13" t="str">
        <v>0</v>
      </c>
      <c r="H22" s="12" t="str">
        <v>+1</v>
      </c>
      <c r="I22" s="1" t="str">
        <v>-1</v>
      </c>
      <c r="J22" s="1" t="str">
        <v>0</v>
      </c>
      <c r="K22" s="13" t="str">
        <v>+1</v>
      </c>
      <c r="L22" s="12" t="str">
        <v>+1</v>
      </c>
      <c r="M22" s="1" t="str">
        <v>-2</v>
      </c>
      <c r="N22" s="1" t="str">
        <v>0</v>
      </c>
      <c r="O22" s="13" t="str">
        <v>0</v>
      </c>
      <c r="P22" s="12" t="str">
        <v>+1</v>
      </c>
      <c r="Q22" s="1" t="str">
        <v>-2</v>
      </c>
      <c r="R22" s="1" t="str">
        <v>+1</v>
      </c>
      <c r="S22" s="13" t="str">
        <v>+1</v>
      </c>
      <c r="T22" s="11" t="s">
        <v>586</v>
      </c>
      <c r="U22" s="2" t="s">
        <v>587</v>
      </c>
      <c r="V22" s="2" t="s">
        <v>588</v>
      </c>
      <c r="W22" s="2" t="s">
        <v>589</v>
      </c>
      <c r="X22" t="str">
        <f t="shared" si="0"/>
        <v xml:space="preserve">// Row: Sd_n[5:0] = 010010
				{3'sd+1,  -3'sd1,  3'sd+1,  3'sd0} : sdn_recovered = {3'b001, 6'b010010}; // Col [001]
				{3'sd+1,  -3'sd1,  3'sd0,  3'sd+1} : sdn_recovered = {3'b011, 6'b010010}; // Col [011]
				{3'sd+1,  -3'sd2,  3'sd0,  3'sd0} : sdn_recovered = {3'b101, 6'b010010}; // Col [101]
				{3'sd+1,  -3'sd2,  3'sd+1,  3'sd+1} : sdn_recovered = {3'b111, 6'b010010}; // Col [111]
</v>
      </c>
      <c r="Y22" s="25"/>
    </row>
    <row r="23" spans="1:25" x14ac:dyDescent="0.25">
      <c r="A23" s="1" t="s">
        <v>120</v>
      </c>
      <c r="B23" s="1" t="str" cm="1">
        <f t="array" ref="B23:S23">_xlfn.TEXTSPLIT(TRIM(A23), {" ",",",", "})</f>
        <v>Normal</v>
      </c>
      <c r="C23" s="10" t="str">
        <v>010011</v>
      </c>
      <c r="D23" s="12" t="str">
        <v>-1</v>
      </c>
      <c r="E23" s="1" t="str">
        <v>-1</v>
      </c>
      <c r="F23" s="1" t="str">
        <v>+1</v>
      </c>
      <c r="G23" s="13" t="str">
        <v>0</v>
      </c>
      <c r="H23" s="12" t="str">
        <v>-1</v>
      </c>
      <c r="I23" s="1" t="str">
        <v>-1</v>
      </c>
      <c r="J23" s="1" t="str">
        <v>0</v>
      </c>
      <c r="K23" s="13" t="str">
        <v>+1</v>
      </c>
      <c r="L23" s="12" t="str">
        <v>-1</v>
      </c>
      <c r="M23" s="1" t="str">
        <v>-2</v>
      </c>
      <c r="N23" s="1" t="str">
        <v>0</v>
      </c>
      <c r="O23" s="13" t="str">
        <v>0</v>
      </c>
      <c r="P23" s="12" t="str">
        <v>-1</v>
      </c>
      <c r="Q23" s="1" t="str">
        <v>-2</v>
      </c>
      <c r="R23" s="1" t="str">
        <v>+1</v>
      </c>
      <c r="S23" s="13" t="str">
        <v>+1</v>
      </c>
      <c r="T23" s="11" t="s">
        <v>590</v>
      </c>
      <c r="U23" s="2" t="s">
        <v>591</v>
      </c>
      <c r="V23" s="2" t="s">
        <v>592</v>
      </c>
      <c r="W23" s="2" t="s">
        <v>593</v>
      </c>
      <c r="X23" t="str">
        <f t="shared" si="0"/>
        <v xml:space="preserve">// Row: Sd_n[5:0] = 010011
				{-3'sd1,  -3'sd1,  3'sd+1,  3'sd0} : sdn_recovered = {3'b001, 6'b010011}; // Col [001]
				{-3'sd1,  -3'sd1,  3'sd0,  3'sd+1} : sdn_recovered = {3'b011, 6'b010011}; // Col [011]
				{-3'sd1,  -3'sd2,  3'sd0,  3'sd0} : sdn_recovered = {3'b101, 6'b010011}; // Col [101]
				{-3'sd1,  -3'sd2,  3'sd+1,  3'sd+1} : sdn_recovered = {3'b111, 6'b010011}; // Col [111]
</v>
      </c>
      <c r="Y23" s="25"/>
    </row>
    <row r="24" spans="1:25" x14ac:dyDescent="0.25">
      <c r="A24" s="1" t="s">
        <v>121</v>
      </c>
      <c r="B24" s="1" t="str" cm="1">
        <f t="array" ref="B24:S24">_xlfn.TEXTSPLIT(TRIM(A24), {" ",",",", "})</f>
        <v>Normal</v>
      </c>
      <c r="C24" s="10" t="str">
        <v>010100</v>
      </c>
      <c r="D24" s="12" t="str">
        <v>+1</v>
      </c>
      <c r="E24" s="1" t="str">
        <v>+1</v>
      </c>
      <c r="F24" s="1" t="str">
        <v>-1</v>
      </c>
      <c r="G24" s="13" t="str">
        <v>0</v>
      </c>
      <c r="H24" s="12" t="str">
        <v>+1</v>
      </c>
      <c r="I24" s="1" t="str">
        <v>+1</v>
      </c>
      <c r="J24" s="1" t="str">
        <v>-2</v>
      </c>
      <c r="K24" s="13" t="str">
        <v>+1</v>
      </c>
      <c r="L24" s="12" t="str">
        <v>+1</v>
      </c>
      <c r="M24" s="1" t="str">
        <v>0</v>
      </c>
      <c r="N24" s="1" t="str">
        <v>-2</v>
      </c>
      <c r="O24" s="13" t="str">
        <v>0</v>
      </c>
      <c r="P24" s="12" t="str">
        <v>+1</v>
      </c>
      <c r="Q24" s="1" t="str">
        <v>0</v>
      </c>
      <c r="R24" s="1" t="str">
        <v>-1</v>
      </c>
      <c r="S24" s="13" t="str">
        <v>+1</v>
      </c>
      <c r="T24" s="11" t="s">
        <v>594</v>
      </c>
      <c r="U24" s="2" t="s">
        <v>595</v>
      </c>
      <c r="V24" s="2" t="s">
        <v>596</v>
      </c>
      <c r="W24" s="2" t="s">
        <v>597</v>
      </c>
      <c r="X24" t="str">
        <f t="shared" si="0"/>
        <v xml:space="preserve">// Row: Sd_n[5:0] = 010100
				{3'sd+1,  3'sd+1,  -3'sd1,  3'sd0} : sdn_recovered = {3'b001, 6'b010100}; // Col [001]
				{3'sd+1,  3'sd+1,  -3'sd2,  3'sd+1} : sdn_recovered = {3'b011, 6'b010100}; // Col [011]
				{3'sd+1,  3'sd0,  -3'sd2,  3'sd0} : sdn_recovered = {3'b101, 6'b010100}; // Col [101]
				{3'sd+1,  3'sd0,  -3'sd1,  3'sd+1} : sdn_recovered = {3'b111, 6'b010100}; // Col [111]
</v>
      </c>
      <c r="Y24" s="25"/>
    </row>
    <row r="25" spans="1:25" x14ac:dyDescent="0.25">
      <c r="A25" s="1" t="s">
        <v>122</v>
      </c>
      <c r="B25" s="1" t="str" cm="1">
        <f t="array" ref="B25:S25">_xlfn.TEXTSPLIT(TRIM(A25), {" ",",",", "})</f>
        <v>Normal</v>
      </c>
      <c r="C25" s="10" t="str">
        <v>010101</v>
      </c>
      <c r="D25" s="12" t="str">
        <v>-1</v>
      </c>
      <c r="E25" s="1" t="str">
        <v>+1</v>
      </c>
      <c r="F25" s="1" t="str">
        <v>-1</v>
      </c>
      <c r="G25" s="13" t="str">
        <v>0</v>
      </c>
      <c r="H25" s="12" t="str">
        <v>-1</v>
      </c>
      <c r="I25" s="1" t="str">
        <v>+1</v>
      </c>
      <c r="J25" s="1" t="str">
        <v>-2</v>
      </c>
      <c r="K25" s="13" t="str">
        <v>+1</v>
      </c>
      <c r="L25" s="12" t="str">
        <v>-1</v>
      </c>
      <c r="M25" s="1" t="str">
        <v>0</v>
      </c>
      <c r="N25" s="1" t="str">
        <v>-2</v>
      </c>
      <c r="O25" s="13" t="str">
        <v>0</v>
      </c>
      <c r="P25" s="12" t="str">
        <v>-1</v>
      </c>
      <c r="Q25" s="1" t="str">
        <v>0</v>
      </c>
      <c r="R25" s="1" t="str">
        <v>-1</v>
      </c>
      <c r="S25" s="13" t="str">
        <v>+1</v>
      </c>
      <c r="T25" s="11" t="s">
        <v>598</v>
      </c>
      <c r="U25" s="2" t="s">
        <v>599</v>
      </c>
      <c r="V25" s="2" t="s">
        <v>600</v>
      </c>
      <c r="W25" s="2" t="s">
        <v>601</v>
      </c>
      <c r="X25" t="str">
        <f t="shared" si="0"/>
        <v xml:space="preserve">// Row: Sd_n[5:0] = 010101
				{-3'sd1,  3'sd+1,  -3'sd1,  3'sd0} : sdn_recovered = {3'b001, 6'b010101}; // Col [001]
				{-3'sd1,  3'sd+1,  -3'sd2,  3'sd+1} : sdn_recovered = {3'b011, 6'b010101}; // Col [011]
				{-3'sd1,  3'sd0,  -3'sd2,  3'sd0} : sdn_recovered = {3'b101, 6'b010101}; // Col [101]
				{-3'sd1,  3'sd0,  -3'sd1,  3'sd+1} : sdn_recovered = {3'b111, 6'b010101}; // Col [111]
</v>
      </c>
      <c r="Y25" s="25"/>
    </row>
    <row r="26" spans="1:25" x14ac:dyDescent="0.25">
      <c r="A26" s="1" t="s">
        <v>123</v>
      </c>
      <c r="B26" s="1" t="str" cm="1">
        <f t="array" ref="B26:S26">_xlfn.TEXTSPLIT(TRIM(A26), {" ",",",", "})</f>
        <v>Normal</v>
      </c>
      <c r="C26" s="10" t="str">
        <v>010110</v>
      </c>
      <c r="D26" s="12" t="str">
        <v>+1</v>
      </c>
      <c r="E26" s="1" t="str">
        <v>-1</v>
      </c>
      <c r="F26" s="1" t="str">
        <v>-1</v>
      </c>
      <c r="G26" s="13" t="str">
        <v>0</v>
      </c>
      <c r="H26" s="12" t="str">
        <v>+1</v>
      </c>
      <c r="I26" s="1" t="str">
        <v>-1</v>
      </c>
      <c r="J26" s="1" t="str">
        <v>-2</v>
      </c>
      <c r="K26" s="13" t="str">
        <v>+1</v>
      </c>
      <c r="L26" s="12" t="str">
        <v>+1</v>
      </c>
      <c r="M26" s="1" t="str">
        <v>-2</v>
      </c>
      <c r="N26" s="1" t="str">
        <v>-2</v>
      </c>
      <c r="O26" s="13" t="str">
        <v>0</v>
      </c>
      <c r="P26" s="12" t="str">
        <v>+1</v>
      </c>
      <c r="Q26" s="1" t="str">
        <v>-2</v>
      </c>
      <c r="R26" s="1" t="str">
        <v>-1</v>
      </c>
      <c r="S26" s="13" t="str">
        <v>+1</v>
      </c>
      <c r="T26" s="11" t="s">
        <v>602</v>
      </c>
      <c r="U26" s="2" t="s">
        <v>603</v>
      </c>
      <c r="V26" s="2" t="s">
        <v>604</v>
      </c>
      <c r="W26" s="2" t="s">
        <v>605</v>
      </c>
      <c r="X26" t="str">
        <f t="shared" si="0"/>
        <v xml:space="preserve">// Row: Sd_n[5:0] = 010110
				{3'sd+1,  -3'sd1,  -3'sd1,  3'sd0} : sdn_recovered = {3'b001, 6'b010110}; // Col [001]
				{3'sd+1,  -3'sd1,  -3'sd2,  3'sd+1} : sdn_recovered = {3'b011, 6'b010110}; // Col [011]
				{3'sd+1,  -3'sd2,  -3'sd2,  3'sd0} : sdn_recovered = {3'b101, 6'b010110}; // Col [101]
				{3'sd+1,  -3'sd2,  -3'sd1,  3'sd+1} : sdn_recovered = {3'b111, 6'b010110}; // Col [111]
</v>
      </c>
      <c r="Y26" s="25"/>
    </row>
    <row r="27" spans="1:25" x14ac:dyDescent="0.25">
      <c r="A27" s="1" t="s">
        <v>124</v>
      </c>
      <c r="B27" s="1" t="str" cm="1">
        <f t="array" ref="B27:S27">_xlfn.TEXTSPLIT(TRIM(A27), {" ",",",", "})</f>
        <v>Normal</v>
      </c>
      <c r="C27" s="10" t="str">
        <v>010111</v>
      </c>
      <c r="D27" s="12" t="str">
        <v>-1</v>
      </c>
      <c r="E27" s="1" t="str">
        <v>-1</v>
      </c>
      <c r="F27" s="1" t="str">
        <v>-1</v>
      </c>
      <c r="G27" s="13" t="str">
        <v>0</v>
      </c>
      <c r="H27" s="12" t="str">
        <v>-1</v>
      </c>
      <c r="I27" s="1" t="str">
        <v>-1</v>
      </c>
      <c r="J27" s="1" t="str">
        <v>-2</v>
      </c>
      <c r="K27" s="13" t="str">
        <v>+1</v>
      </c>
      <c r="L27" s="12" t="str">
        <v>-1</v>
      </c>
      <c r="M27" s="1" t="str">
        <v>-2</v>
      </c>
      <c r="N27" s="1" t="str">
        <v>-2</v>
      </c>
      <c r="O27" s="13" t="str">
        <v>0</v>
      </c>
      <c r="P27" s="12" t="str">
        <v>-1</v>
      </c>
      <c r="Q27" s="1" t="str">
        <v>-2</v>
      </c>
      <c r="R27" s="1" t="str">
        <v>-1</v>
      </c>
      <c r="S27" s="13" t="str">
        <v>+1</v>
      </c>
      <c r="T27" s="11" t="s">
        <v>606</v>
      </c>
      <c r="U27" s="2" t="s">
        <v>607</v>
      </c>
      <c r="V27" s="2" t="s">
        <v>608</v>
      </c>
      <c r="W27" s="2" t="s">
        <v>609</v>
      </c>
      <c r="X27" t="str">
        <f t="shared" si="0"/>
        <v xml:space="preserve">// Row: Sd_n[5:0] = 010111
				{-3'sd1,  -3'sd1,  -3'sd1,  3'sd0} : sdn_recovered = {3'b001, 6'b010111}; // Col [001]
				{-3'sd1,  -3'sd1,  -3'sd2,  3'sd+1} : sdn_recovered = {3'b011, 6'b010111}; // Col [011]
				{-3'sd1,  -3'sd2,  -3'sd2,  3'sd0} : sdn_recovered = {3'b101, 6'b010111}; // Col [101]
				{-3'sd1,  -3'sd2,  -3'sd1,  3'sd+1} : sdn_recovered = {3'b111, 6'b010111}; // Col [111]
</v>
      </c>
      <c r="Y27" s="25"/>
    </row>
    <row r="28" spans="1:25" x14ac:dyDescent="0.25">
      <c r="A28" s="1" t="s">
        <v>125</v>
      </c>
      <c r="B28" s="1" t="str" cm="1">
        <f t="array" ref="B28:S28">_xlfn.TEXTSPLIT(TRIM(A28), {" ",",",", "})</f>
        <v>Normal</v>
      </c>
      <c r="C28" s="10" t="str">
        <v>011000</v>
      </c>
      <c r="D28" s="12" t="str">
        <v>+1</v>
      </c>
      <c r="E28" s="1" t="str">
        <v>+1</v>
      </c>
      <c r="F28" s="1" t="str">
        <v>+1</v>
      </c>
      <c r="G28" s="13" t="str">
        <v>-2</v>
      </c>
      <c r="H28" s="12" t="str">
        <v>+1</v>
      </c>
      <c r="I28" s="1" t="str">
        <v>+1</v>
      </c>
      <c r="J28" s="1" t="str">
        <v>0</v>
      </c>
      <c r="K28" s="13" t="str">
        <v>-1</v>
      </c>
      <c r="L28" s="12" t="str">
        <v>+1</v>
      </c>
      <c r="M28" s="1" t="str">
        <v>0</v>
      </c>
      <c r="N28" s="1" t="str">
        <v>0</v>
      </c>
      <c r="O28" s="13" t="str">
        <v>-2</v>
      </c>
      <c r="P28" s="12" t="str">
        <v>+1</v>
      </c>
      <c r="Q28" s="1" t="str">
        <v>0</v>
      </c>
      <c r="R28" s="1" t="str">
        <v>+1</v>
      </c>
      <c r="S28" s="13" t="str">
        <v>-1</v>
      </c>
      <c r="T28" s="11" t="s">
        <v>610</v>
      </c>
      <c r="U28" s="2" t="s">
        <v>611</v>
      </c>
      <c r="V28" s="2" t="s">
        <v>612</v>
      </c>
      <c r="W28" s="2" t="s">
        <v>613</v>
      </c>
      <c r="X28" t="str">
        <f t="shared" si="0"/>
        <v xml:space="preserve">// Row: Sd_n[5:0] = 011000
				{3'sd+1,  3'sd+1,  3'sd+1,  -3'sd2} : sdn_recovered = {3'b001, 6'b011000}; // Col [001]
				{3'sd+1,  3'sd+1,  3'sd0,  -3'sd1} : sdn_recovered = {3'b011, 6'b011000}; // Col [011]
				{3'sd+1,  3'sd0,  3'sd0,  -3'sd2} : sdn_recovered = {3'b101, 6'b011000}; // Col [101]
				{3'sd+1,  3'sd0,  3'sd+1,  -3'sd1} : sdn_recovered = {3'b111, 6'b011000}; // Col [111]
</v>
      </c>
      <c r="Y28" s="25"/>
    </row>
    <row r="29" spans="1:25" x14ac:dyDescent="0.25">
      <c r="A29" s="1" t="s">
        <v>126</v>
      </c>
      <c r="B29" s="1" t="str" cm="1">
        <f t="array" ref="B29:S29">_xlfn.TEXTSPLIT(TRIM(A29), {" ",",",", "})</f>
        <v>Normal</v>
      </c>
      <c r="C29" s="10" t="str">
        <v>011001</v>
      </c>
      <c r="D29" s="12" t="str">
        <v>-1</v>
      </c>
      <c r="E29" s="1" t="str">
        <v>+1</v>
      </c>
      <c r="F29" s="1" t="str">
        <v>+1</v>
      </c>
      <c r="G29" s="13" t="str">
        <v>-2</v>
      </c>
      <c r="H29" s="12" t="str">
        <v>-1</v>
      </c>
      <c r="I29" s="1" t="str">
        <v>+1</v>
      </c>
      <c r="J29" s="1" t="str">
        <v>0</v>
      </c>
      <c r="K29" s="13" t="str">
        <v>-1</v>
      </c>
      <c r="L29" s="12" t="str">
        <v>-1</v>
      </c>
      <c r="M29" s="1" t="str">
        <v>0</v>
      </c>
      <c r="N29" s="1" t="str">
        <v>0</v>
      </c>
      <c r="O29" s="13" t="str">
        <v>-2</v>
      </c>
      <c r="P29" s="12" t="str">
        <v>-1</v>
      </c>
      <c r="Q29" s="1" t="str">
        <v>0</v>
      </c>
      <c r="R29" s="1" t="str">
        <v>+1</v>
      </c>
      <c r="S29" s="13" t="str">
        <v>-1</v>
      </c>
      <c r="T29" s="11" t="s">
        <v>614</v>
      </c>
      <c r="U29" s="2" t="s">
        <v>615</v>
      </c>
      <c r="V29" s="2" t="s">
        <v>616</v>
      </c>
      <c r="W29" s="2" t="s">
        <v>617</v>
      </c>
      <c r="X29" t="str">
        <f t="shared" si="0"/>
        <v xml:space="preserve">// Row: Sd_n[5:0] = 011001
				{-3'sd1,  3'sd+1,  3'sd+1,  -3'sd2} : sdn_recovered = {3'b001, 6'b011001}; // Col [001]
				{-3'sd1,  3'sd+1,  3'sd0,  -3'sd1} : sdn_recovered = {3'b011, 6'b011001}; // Col [011]
				{-3'sd1,  3'sd0,  3'sd0,  -3'sd2} : sdn_recovered = {3'b101, 6'b011001}; // Col [101]
				{-3'sd1,  3'sd0,  3'sd+1,  -3'sd1} : sdn_recovered = {3'b111, 6'b011001}; // Col [111]
</v>
      </c>
      <c r="Y29" s="25"/>
    </row>
    <row r="30" spans="1:25" x14ac:dyDescent="0.25">
      <c r="A30" s="1" t="s">
        <v>127</v>
      </c>
      <c r="B30" s="1" t="str" cm="1">
        <f t="array" ref="B30:S30">_xlfn.TEXTSPLIT(TRIM(A30), {" ",",",", "})</f>
        <v>Normal</v>
      </c>
      <c r="C30" s="10" t="str">
        <v>011010</v>
      </c>
      <c r="D30" s="12" t="str">
        <v>+1</v>
      </c>
      <c r="E30" s="1" t="str">
        <v>-1</v>
      </c>
      <c r="F30" s="1" t="str">
        <v>+1</v>
      </c>
      <c r="G30" s="13" t="str">
        <v>-2</v>
      </c>
      <c r="H30" s="12" t="str">
        <v>+1</v>
      </c>
      <c r="I30" s="1" t="str">
        <v>-1</v>
      </c>
      <c r="J30" s="1" t="str">
        <v>0</v>
      </c>
      <c r="K30" s="13" t="str">
        <v>-1</v>
      </c>
      <c r="L30" s="12" t="str">
        <v>+1</v>
      </c>
      <c r="M30" s="1" t="str">
        <v>-2</v>
      </c>
      <c r="N30" s="1" t="str">
        <v>0</v>
      </c>
      <c r="O30" s="13" t="str">
        <v>-2</v>
      </c>
      <c r="P30" s="12" t="str">
        <v>+1</v>
      </c>
      <c r="Q30" s="1" t="str">
        <v>-2</v>
      </c>
      <c r="R30" s="1" t="str">
        <v>+1</v>
      </c>
      <c r="S30" s="13" t="str">
        <v>-1</v>
      </c>
      <c r="T30" s="11" t="s">
        <v>618</v>
      </c>
      <c r="U30" s="2" t="s">
        <v>619</v>
      </c>
      <c r="V30" s="2" t="s">
        <v>620</v>
      </c>
      <c r="W30" s="2" t="s">
        <v>621</v>
      </c>
      <c r="X30" t="str">
        <f t="shared" si="0"/>
        <v xml:space="preserve">// Row: Sd_n[5:0] = 011010
				{3'sd+1,  -3'sd1,  3'sd+1,  -3'sd2} : sdn_recovered = {3'b001, 6'b011010}; // Col [001]
				{3'sd+1,  -3'sd1,  3'sd0,  -3'sd1} : sdn_recovered = {3'b011, 6'b011010}; // Col [011]
				{3'sd+1,  -3'sd2,  3'sd0,  -3'sd2} : sdn_recovered = {3'b101, 6'b011010}; // Col [101]
				{3'sd+1,  -3'sd2,  3'sd+1,  -3'sd1} : sdn_recovered = {3'b111, 6'b011010}; // Col [111]
</v>
      </c>
      <c r="Y30" s="25"/>
    </row>
    <row r="31" spans="1:25" x14ac:dyDescent="0.25">
      <c r="A31" s="1" t="s">
        <v>128</v>
      </c>
      <c r="B31" s="1" t="str" cm="1">
        <f t="array" ref="B31:S31">_xlfn.TEXTSPLIT(TRIM(A31), {" ",",",", "})</f>
        <v>Normal</v>
      </c>
      <c r="C31" s="10" t="str">
        <v>011011</v>
      </c>
      <c r="D31" s="12" t="str">
        <v>-1</v>
      </c>
      <c r="E31" s="1" t="str">
        <v>-1</v>
      </c>
      <c r="F31" s="1" t="str">
        <v>+1</v>
      </c>
      <c r="G31" s="13" t="str">
        <v>-2</v>
      </c>
      <c r="H31" s="12" t="str">
        <v>-1</v>
      </c>
      <c r="I31" s="1" t="str">
        <v>-1</v>
      </c>
      <c r="J31" s="1" t="str">
        <v>0</v>
      </c>
      <c r="K31" s="13" t="str">
        <v>-1</v>
      </c>
      <c r="L31" s="12" t="str">
        <v>-1</v>
      </c>
      <c r="M31" s="1" t="str">
        <v>-2</v>
      </c>
      <c r="N31" s="1" t="str">
        <v>0</v>
      </c>
      <c r="O31" s="13" t="str">
        <v>-2</v>
      </c>
      <c r="P31" s="12" t="str">
        <v>-1</v>
      </c>
      <c r="Q31" s="1" t="str">
        <v>-2</v>
      </c>
      <c r="R31" s="1" t="str">
        <v>+1</v>
      </c>
      <c r="S31" s="13" t="str">
        <v>-1</v>
      </c>
      <c r="T31" s="11" t="s">
        <v>622</v>
      </c>
      <c r="U31" s="2" t="s">
        <v>623</v>
      </c>
      <c r="V31" s="2" t="s">
        <v>624</v>
      </c>
      <c r="W31" s="2" t="s">
        <v>625</v>
      </c>
      <c r="X31" t="str">
        <f t="shared" si="0"/>
        <v xml:space="preserve">// Row: Sd_n[5:0] = 011011
				{-3'sd1,  -3'sd1,  3'sd+1,  -3'sd2} : sdn_recovered = {3'b001, 6'b011011}; // Col [001]
				{-3'sd1,  -3'sd1,  3'sd0,  -3'sd1} : sdn_recovered = {3'b011, 6'b011011}; // Col [011]
				{-3'sd1,  -3'sd2,  3'sd0,  -3'sd2} : sdn_recovered = {3'b101, 6'b011011}; // Col [101]
				{-3'sd1,  -3'sd2,  3'sd+1,  -3'sd1} : sdn_recovered = {3'b111, 6'b011011}; // Col [111]
</v>
      </c>
      <c r="Y31" s="25"/>
    </row>
    <row r="32" spans="1:25" x14ac:dyDescent="0.25">
      <c r="A32" s="1" t="s">
        <v>129</v>
      </c>
      <c r="B32" s="1" t="str" cm="1">
        <f t="array" ref="B32:S32">_xlfn.TEXTSPLIT(TRIM(A32), {" ",",",", "})</f>
        <v>Normal</v>
      </c>
      <c r="C32" s="10" t="str">
        <v>011100</v>
      </c>
      <c r="D32" s="12" t="str">
        <v>+1</v>
      </c>
      <c r="E32" s="1" t="str">
        <v>+1</v>
      </c>
      <c r="F32" s="1" t="str">
        <v>-1</v>
      </c>
      <c r="G32" s="13" t="str">
        <v>-2</v>
      </c>
      <c r="H32" s="12" t="str">
        <v>+1</v>
      </c>
      <c r="I32" s="1" t="str">
        <v>+1</v>
      </c>
      <c r="J32" s="1" t="str">
        <v>-2</v>
      </c>
      <c r="K32" s="13" t="str">
        <v>-1</v>
      </c>
      <c r="L32" s="12" t="str">
        <v>+1</v>
      </c>
      <c r="M32" s="1" t="str">
        <v>0</v>
      </c>
      <c r="N32" s="1" t="str">
        <v>-2</v>
      </c>
      <c r="O32" s="13" t="str">
        <v>-2</v>
      </c>
      <c r="P32" s="12" t="str">
        <v>+1</v>
      </c>
      <c r="Q32" s="1" t="str">
        <v>0</v>
      </c>
      <c r="R32" s="1" t="str">
        <v>-1</v>
      </c>
      <c r="S32" s="13" t="str">
        <v>-1</v>
      </c>
      <c r="T32" s="11" t="s">
        <v>626</v>
      </c>
      <c r="U32" s="2" t="s">
        <v>627</v>
      </c>
      <c r="V32" s="2" t="s">
        <v>628</v>
      </c>
      <c r="W32" s="2" t="s">
        <v>629</v>
      </c>
      <c r="X32" t="str">
        <f t="shared" si="0"/>
        <v xml:space="preserve">// Row: Sd_n[5:0] = 011100
				{3'sd+1,  3'sd+1,  -3'sd1,  -3'sd2} : sdn_recovered = {3'b001, 6'b011100}; // Col [001]
				{3'sd+1,  3'sd+1,  -3'sd2,  -3'sd1} : sdn_recovered = {3'b011, 6'b011100}; // Col [011]
				{3'sd+1,  3'sd0,  -3'sd2,  -3'sd2} : sdn_recovered = {3'b101, 6'b011100}; // Col [101]
				{3'sd+1,  3'sd0,  -3'sd1,  -3'sd1} : sdn_recovered = {3'b111, 6'b011100}; // Col [111]
</v>
      </c>
      <c r="Y32" s="25"/>
    </row>
    <row r="33" spans="1:25" x14ac:dyDescent="0.25">
      <c r="A33" s="1" t="s">
        <v>130</v>
      </c>
      <c r="B33" s="1" t="str" cm="1">
        <f t="array" ref="B33:S33">_xlfn.TEXTSPLIT(TRIM(A33), {" ",",",", "})</f>
        <v>Normal</v>
      </c>
      <c r="C33" s="10" t="str">
        <v>011101</v>
      </c>
      <c r="D33" s="12" t="str">
        <v>-1</v>
      </c>
      <c r="E33" s="1" t="str">
        <v>+1</v>
      </c>
      <c r="F33" s="1" t="str">
        <v>-1</v>
      </c>
      <c r="G33" s="13" t="str">
        <v>-2</v>
      </c>
      <c r="H33" s="12" t="str">
        <v>-1</v>
      </c>
      <c r="I33" s="1" t="str">
        <v>+1</v>
      </c>
      <c r="J33" s="1" t="str">
        <v>-2</v>
      </c>
      <c r="K33" s="13" t="str">
        <v>-1</v>
      </c>
      <c r="L33" s="12" t="str">
        <v>-1</v>
      </c>
      <c r="M33" s="1" t="str">
        <v>0</v>
      </c>
      <c r="N33" s="1" t="str">
        <v>-2</v>
      </c>
      <c r="O33" s="13" t="str">
        <v>-2</v>
      </c>
      <c r="P33" s="12" t="str">
        <v>-1</v>
      </c>
      <c r="Q33" s="1" t="str">
        <v>0</v>
      </c>
      <c r="R33" s="1" t="str">
        <v>-1</v>
      </c>
      <c r="S33" s="13" t="str">
        <v>-1</v>
      </c>
      <c r="T33" s="11" t="s">
        <v>630</v>
      </c>
      <c r="U33" s="2" t="s">
        <v>631</v>
      </c>
      <c r="V33" s="2" t="s">
        <v>632</v>
      </c>
      <c r="W33" s="2" t="s">
        <v>633</v>
      </c>
      <c r="X33" t="str">
        <f t="shared" si="0"/>
        <v xml:space="preserve">// Row: Sd_n[5:0] = 011101
				{-3'sd1,  3'sd+1,  -3'sd1,  -3'sd2} : sdn_recovered = {3'b001, 6'b011101}; // Col [001]
				{-3'sd1,  3'sd+1,  -3'sd2,  -3'sd1} : sdn_recovered = {3'b011, 6'b011101}; // Col [011]
				{-3'sd1,  3'sd0,  -3'sd2,  -3'sd2} : sdn_recovered = {3'b101, 6'b011101}; // Col [101]
				{-3'sd1,  3'sd0,  -3'sd1,  -3'sd1} : sdn_recovered = {3'b111, 6'b011101}; // Col [111]
</v>
      </c>
      <c r="Y33" s="25"/>
    </row>
    <row r="34" spans="1:25" x14ac:dyDescent="0.25">
      <c r="A34" s="1" t="s">
        <v>131</v>
      </c>
      <c r="B34" s="1" t="str" cm="1">
        <f t="array" ref="B34:S34">_xlfn.TEXTSPLIT(TRIM(A34), {" ",",",", "})</f>
        <v>Normal</v>
      </c>
      <c r="C34" s="10" t="str">
        <v>011110</v>
      </c>
      <c r="D34" s="12" t="str">
        <v>+1</v>
      </c>
      <c r="E34" s="1" t="str">
        <v>-1</v>
      </c>
      <c r="F34" s="1" t="str">
        <v>-1</v>
      </c>
      <c r="G34" s="13" t="str">
        <v>-2</v>
      </c>
      <c r="H34" s="12" t="str">
        <v>+1</v>
      </c>
      <c r="I34" s="1" t="str">
        <v>-1</v>
      </c>
      <c r="J34" s="1" t="str">
        <v>-2</v>
      </c>
      <c r="K34" s="13" t="str">
        <v>-1</v>
      </c>
      <c r="L34" s="12" t="str">
        <v>+1</v>
      </c>
      <c r="M34" s="1" t="str">
        <v>-2</v>
      </c>
      <c r="N34" s="1" t="str">
        <v>-2</v>
      </c>
      <c r="O34" s="13" t="str">
        <v>-2</v>
      </c>
      <c r="P34" s="12" t="str">
        <v>+1</v>
      </c>
      <c r="Q34" s="1" t="str">
        <v>-2</v>
      </c>
      <c r="R34" s="1" t="str">
        <v>-1</v>
      </c>
      <c r="S34" s="13" t="str">
        <v>-1</v>
      </c>
      <c r="T34" s="11" t="s">
        <v>634</v>
      </c>
      <c r="U34" s="2" t="s">
        <v>635</v>
      </c>
      <c r="V34" s="2" t="s">
        <v>636</v>
      </c>
      <c r="W34" s="2" t="s">
        <v>637</v>
      </c>
      <c r="X34" t="str">
        <f t="shared" si="0"/>
        <v xml:space="preserve">// Row: Sd_n[5:0] = 011110
				{3'sd+1,  -3'sd1,  -3'sd1,  -3'sd2} : sdn_recovered = {3'b001, 6'b011110}; // Col [001]
				{3'sd+1,  -3'sd1,  -3'sd2,  -3'sd1} : sdn_recovered = {3'b011, 6'b011110}; // Col [011]
				{3'sd+1,  -3'sd2,  -3'sd2,  -3'sd2} : sdn_recovered = {3'b101, 6'b011110}; // Col [101]
				{3'sd+1,  -3'sd2,  -3'sd1,  -3'sd1} : sdn_recovered = {3'b111, 6'b011110}; // Col [111]
</v>
      </c>
      <c r="Y34" s="25"/>
    </row>
    <row r="35" spans="1:25" x14ac:dyDescent="0.25">
      <c r="A35" s="1" t="s">
        <v>132</v>
      </c>
      <c r="B35" s="1" t="str" cm="1">
        <f t="array" ref="B35:S35">_xlfn.TEXTSPLIT(TRIM(A35), {" ",",",", "})</f>
        <v>Normal</v>
      </c>
      <c r="C35" s="10" t="str">
        <v>011111</v>
      </c>
      <c r="D35" s="12" t="str">
        <v>-1</v>
      </c>
      <c r="E35" s="1" t="str">
        <v>-1</v>
      </c>
      <c r="F35" s="1" t="str">
        <v>-1</v>
      </c>
      <c r="G35" s="13" t="str">
        <v>-2</v>
      </c>
      <c r="H35" s="12" t="str">
        <v>-1</v>
      </c>
      <c r="I35" s="1" t="str">
        <v>-1</v>
      </c>
      <c r="J35" s="1" t="str">
        <v>-2</v>
      </c>
      <c r="K35" s="13" t="str">
        <v>-1</v>
      </c>
      <c r="L35" s="12" t="str">
        <v>-1</v>
      </c>
      <c r="M35" s="1" t="str">
        <v>-2</v>
      </c>
      <c r="N35" s="1" t="str">
        <v>-2</v>
      </c>
      <c r="O35" s="13" t="str">
        <v>-2</v>
      </c>
      <c r="P35" s="12" t="str">
        <v>-1</v>
      </c>
      <c r="Q35" s="1" t="str">
        <v>-2</v>
      </c>
      <c r="R35" s="1" t="str">
        <v>-1</v>
      </c>
      <c r="S35" s="13" t="str">
        <v>-1</v>
      </c>
      <c r="T35" s="11" t="s">
        <v>638</v>
      </c>
      <c r="U35" s="2" t="s">
        <v>639</v>
      </c>
      <c r="V35" s="2" t="s">
        <v>640</v>
      </c>
      <c r="W35" s="2" t="s">
        <v>641</v>
      </c>
      <c r="X35" t="str">
        <f t="shared" si="0"/>
        <v xml:space="preserve">// Row: Sd_n[5:0] = 011111
				{-3'sd1,  -3'sd1,  -3'sd1,  -3'sd2} : sdn_recovered = {3'b001, 6'b011111}; // Col [001]
				{-3'sd1,  -3'sd1,  -3'sd2,  -3'sd1} : sdn_recovered = {3'b011, 6'b011111}; // Col [011]
				{-3'sd1,  -3'sd2,  -3'sd2,  -3'sd2} : sdn_recovered = {3'b101, 6'b011111}; // Col [101]
				{-3'sd1,  -3'sd2,  -3'sd1,  -3'sd1} : sdn_recovered = {3'b111, 6'b011111}; // Col [111]
</v>
      </c>
      <c r="Y35" s="25"/>
    </row>
    <row r="36" spans="1:25" x14ac:dyDescent="0.25">
      <c r="A36" s="1" t="s">
        <v>133</v>
      </c>
      <c r="B36" s="1" t="str" cm="1">
        <f t="array" ref="B36:S36">_xlfn.TEXTSPLIT(TRIM(A36), {" ",",",", "})</f>
        <v>Normal</v>
      </c>
      <c r="C36" s="10" t="str">
        <v>100000</v>
      </c>
      <c r="D36" s="12" t="str">
        <v>+2</v>
      </c>
      <c r="E36" s="1" t="str">
        <v>0</v>
      </c>
      <c r="F36" s="1" t="str">
        <v>0</v>
      </c>
      <c r="G36" s="13" t="str">
        <v>+1</v>
      </c>
      <c r="H36" s="12" t="str">
        <v>+2</v>
      </c>
      <c r="I36" s="1" t="str">
        <v>0</v>
      </c>
      <c r="J36" s="1" t="str">
        <v>+1</v>
      </c>
      <c r="K36" s="13" t="str">
        <v>0</v>
      </c>
      <c r="L36" s="12" t="str">
        <v>+2</v>
      </c>
      <c r="M36" s="1" t="str">
        <v>+1</v>
      </c>
      <c r="N36" s="1" t="str">
        <v>+1</v>
      </c>
      <c r="O36" s="13" t="str">
        <v>+1</v>
      </c>
      <c r="P36" s="12" t="str">
        <v>+2</v>
      </c>
      <c r="Q36" s="1" t="str">
        <v>+1</v>
      </c>
      <c r="R36" s="1" t="str">
        <v>0</v>
      </c>
      <c r="S36" s="13" t="str">
        <v>0</v>
      </c>
      <c r="T36" s="11" t="s">
        <v>642</v>
      </c>
      <c r="U36" s="2" t="s">
        <v>643</v>
      </c>
      <c r="V36" s="2" t="s">
        <v>644</v>
      </c>
      <c r="W36" s="2" t="s">
        <v>645</v>
      </c>
      <c r="X36" t="str">
        <f t="shared" si="0"/>
        <v xml:space="preserve">// Row: Sd_n[5:0] = 100000
				{3'sd+2,  3'sd0,  3'sd0,  3'sd+1} : sdn_recovered = {3'b001, 6'b100000}; // Col [001]
				{3'sd+2,  3'sd0,  3'sd+1,  3'sd0} : sdn_recovered = {3'b011, 6'b100000}; // Col [011]
				{3'sd+2,  3'sd+1,  3'sd+1,  3'sd+1} : sdn_recovered = {3'b101, 6'b100000}; // Col [101]
				{3'sd+2,  3'sd+1,  3'sd0,  3'sd0} : sdn_recovered = {3'b111, 6'b100000}; // Col [111]
</v>
      </c>
      <c r="Y36" s="25"/>
    </row>
    <row r="37" spans="1:25" x14ac:dyDescent="0.25">
      <c r="A37" s="1" t="s">
        <v>134</v>
      </c>
      <c r="B37" s="1" t="str" cm="1">
        <f t="array" ref="B37:S37">_xlfn.TEXTSPLIT(TRIM(A37), {" ",",",", "})</f>
        <v>Normal</v>
      </c>
      <c r="C37" s="10" t="str">
        <v>100001</v>
      </c>
      <c r="D37" s="12" t="str">
        <v>+2</v>
      </c>
      <c r="E37" s="1" t="str">
        <v>-2</v>
      </c>
      <c r="F37" s="1" t="str">
        <v>0</v>
      </c>
      <c r="G37" s="13" t="str">
        <v>+1</v>
      </c>
      <c r="H37" s="12" t="str">
        <v>+2</v>
      </c>
      <c r="I37" s="1" t="str">
        <v>-2</v>
      </c>
      <c r="J37" s="1" t="str">
        <v>+1</v>
      </c>
      <c r="K37" s="13" t="str">
        <v>0</v>
      </c>
      <c r="L37" s="12" t="str">
        <v>+2</v>
      </c>
      <c r="M37" s="1" t="str">
        <v>-1</v>
      </c>
      <c r="N37" s="1" t="str">
        <v>+1</v>
      </c>
      <c r="O37" s="13" t="str">
        <v>+1</v>
      </c>
      <c r="P37" s="12" t="str">
        <v>+2</v>
      </c>
      <c r="Q37" s="1" t="str">
        <v>-1</v>
      </c>
      <c r="R37" s="1" t="str">
        <v>0</v>
      </c>
      <c r="S37" s="13" t="str">
        <v>0</v>
      </c>
      <c r="T37" s="11" t="s">
        <v>646</v>
      </c>
      <c r="U37" s="2" t="s">
        <v>647</v>
      </c>
      <c r="V37" s="2" t="s">
        <v>648</v>
      </c>
      <c r="W37" s="2" t="s">
        <v>649</v>
      </c>
      <c r="X37" t="str">
        <f t="shared" si="0"/>
        <v xml:space="preserve">// Row: Sd_n[5:0] = 100001
				{3'sd+2,  -3'sd2,  3'sd0,  3'sd+1} : sdn_recovered = {3'b001, 6'b100001}; // Col [001]
				{3'sd+2,  -3'sd2,  3'sd+1,  3'sd0} : sdn_recovered = {3'b011, 6'b100001}; // Col [011]
				{3'sd+2,  -3'sd1,  3'sd+1,  3'sd+1} : sdn_recovered = {3'b101, 6'b100001}; // Col [101]
				{3'sd+2,  -3'sd1,  3'sd0,  3'sd0} : sdn_recovered = {3'b111, 6'b100001}; // Col [111]
</v>
      </c>
      <c r="Y37" s="25"/>
    </row>
    <row r="38" spans="1:25" x14ac:dyDescent="0.25">
      <c r="A38" s="1" t="s">
        <v>135</v>
      </c>
      <c r="B38" s="1" t="str" cm="1">
        <f t="array" ref="B38:S38">_xlfn.TEXTSPLIT(TRIM(A38), {" ",",",", "})</f>
        <v>Normal</v>
      </c>
      <c r="C38" s="10" t="str">
        <v>100010</v>
      </c>
      <c r="D38" s="12" t="str">
        <v>+2</v>
      </c>
      <c r="E38" s="1" t="str">
        <v>0</v>
      </c>
      <c r="F38" s="1" t="str">
        <v>-2</v>
      </c>
      <c r="G38" s="13" t="str">
        <v>+1</v>
      </c>
      <c r="H38" s="12" t="str">
        <v>+2</v>
      </c>
      <c r="I38" s="1" t="str">
        <v>0</v>
      </c>
      <c r="J38" s="1" t="str">
        <v>-1</v>
      </c>
      <c r="K38" s="13" t="str">
        <v>0</v>
      </c>
      <c r="L38" s="12" t="str">
        <v>+2</v>
      </c>
      <c r="M38" s="1" t="str">
        <v>+1</v>
      </c>
      <c r="N38" s="1" t="str">
        <v>-1</v>
      </c>
      <c r="O38" s="13" t="str">
        <v>+1</v>
      </c>
      <c r="P38" s="12" t="str">
        <v>+2</v>
      </c>
      <c r="Q38" s="1" t="str">
        <v>+1</v>
      </c>
      <c r="R38" s="1" t="str">
        <v>-2</v>
      </c>
      <c r="S38" s="13" t="str">
        <v>0</v>
      </c>
      <c r="T38" s="11" t="s">
        <v>650</v>
      </c>
      <c r="U38" s="2" t="s">
        <v>651</v>
      </c>
      <c r="V38" s="2" t="s">
        <v>652</v>
      </c>
      <c r="W38" s="2" t="s">
        <v>653</v>
      </c>
      <c r="X38" t="str">
        <f t="shared" si="0"/>
        <v xml:space="preserve">// Row: Sd_n[5:0] = 100010
				{3'sd+2,  3'sd0,  -3'sd2,  3'sd+1} : sdn_recovered = {3'b001, 6'b100010}; // Col [001]
				{3'sd+2,  3'sd0,  -3'sd1,  3'sd0} : sdn_recovered = {3'b011, 6'b100010}; // Col [011]
				{3'sd+2,  3'sd+1,  -3'sd1,  3'sd+1} : sdn_recovered = {3'b101, 6'b100010}; // Col [101]
				{3'sd+2,  3'sd+1,  -3'sd2,  3'sd0} : sdn_recovered = {3'b111, 6'b100010}; // Col [111]
</v>
      </c>
      <c r="Y38" s="25"/>
    </row>
    <row r="39" spans="1:25" x14ac:dyDescent="0.25">
      <c r="A39" s="1" t="s">
        <v>136</v>
      </c>
      <c r="B39" s="1" t="str" cm="1">
        <f t="array" ref="B39:S39">_xlfn.TEXTSPLIT(TRIM(A39), {" ",",",", "})</f>
        <v>Normal</v>
      </c>
      <c r="C39" s="10" t="str">
        <v>100011</v>
      </c>
      <c r="D39" s="12" t="str">
        <v>+2</v>
      </c>
      <c r="E39" s="1" t="str">
        <v>-2</v>
      </c>
      <c r="F39" s="1" t="str">
        <v>-2</v>
      </c>
      <c r="G39" s="13" t="str">
        <v>+1</v>
      </c>
      <c r="H39" s="12" t="str">
        <v>+2</v>
      </c>
      <c r="I39" s="1" t="str">
        <v>-2</v>
      </c>
      <c r="J39" s="1" t="str">
        <v>-1</v>
      </c>
      <c r="K39" s="13" t="str">
        <v>0</v>
      </c>
      <c r="L39" s="12" t="str">
        <v>+2</v>
      </c>
      <c r="M39" s="1" t="str">
        <v>-1</v>
      </c>
      <c r="N39" s="1" t="str">
        <v>-1</v>
      </c>
      <c r="O39" s="13" t="str">
        <v>+1</v>
      </c>
      <c r="P39" s="12" t="str">
        <v>+2</v>
      </c>
      <c r="Q39" s="1" t="str">
        <v>-1</v>
      </c>
      <c r="R39" s="1" t="str">
        <v>-2</v>
      </c>
      <c r="S39" s="13" t="str">
        <v>0</v>
      </c>
      <c r="T39" s="11" t="s">
        <v>654</v>
      </c>
      <c r="U39" s="2" t="s">
        <v>655</v>
      </c>
      <c r="V39" s="2" t="s">
        <v>656</v>
      </c>
      <c r="W39" s="2" t="s">
        <v>657</v>
      </c>
      <c r="X39" t="str">
        <f t="shared" si="0"/>
        <v xml:space="preserve">// Row: Sd_n[5:0] = 100011
				{3'sd+2,  -3'sd2,  -3'sd2,  3'sd+1} : sdn_recovered = {3'b001, 6'b100011}; // Col [001]
				{3'sd+2,  -3'sd2,  -3'sd1,  3'sd0} : sdn_recovered = {3'b011, 6'b100011}; // Col [011]
				{3'sd+2,  -3'sd1,  -3'sd1,  3'sd+1} : sdn_recovered = {3'b101, 6'b100011}; // Col [101]
				{3'sd+2,  -3'sd1,  -3'sd2,  3'sd0} : sdn_recovered = {3'b111, 6'b100011}; // Col [111]
</v>
      </c>
      <c r="Y39" s="25"/>
    </row>
    <row r="40" spans="1:25" x14ac:dyDescent="0.25">
      <c r="A40" s="1" t="s">
        <v>137</v>
      </c>
      <c r="B40" s="1" t="str" cm="1">
        <f t="array" ref="B40:S40">_xlfn.TEXTSPLIT(TRIM(A40), {" ",",",", "})</f>
        <v>Normal</v>
      </c>
      <c r="C40" s="10" t="str">
        <v>100100</v>
      </c>
      <c r="D40" s="12" t="str">
        <v>+2</v>
      </c>
      <c r="E40" s="1" t="str">
        <v>0</v>
      </c>
      <c r="F40" s="1" t="str">
        <v>0</v>
      </c>
      <c r="G40" s="13" t="str">
        <v>-1</v>
      </c>
      <c r="H40" s="12" t="str">
        <v>+2</v>
      </c>
      <c r="I40" s="1" t="str">
        <v>0</v>
      </c>
      <c r="J40" s="1" t="str">
        <v>+1</v>
      </c>
      <c r="K40" s="13" t="str">
        <v>-2</v>
      </c>
      <c r="L40" s="12" t="str">
        <v>+2</v>
      </c>
      <c r="M40" s="1" t="str">
        <v>+1</v>
      </c>
      <c r="N40" s="1" t="str">
        <v>+1</v>
      </c>
      <c r="O40" s="13" t="str">
        <v>-1</v>
      </c>
      <c r="P40" s="12" t="str">
        <v>+2</v>
      </c>
      <c r="Q40" s="1" t="str">
        <v>+1</v>
      </c>
      <c r="R40" s="1" t="str">
        <v>0</v>
      </c>
      <c r="S40" s="13" t="str">
        <v>-2</v>
      </c>
      <c r="T40" s="11" t="s">
        <v>658</v>
      </c>
      <c r="U40" s="2" t="s">
        <v>659</v>
      </c>
      <c r="V40" s="2" t="s">
        <v>660</v>
      </c>
      <c r="W40" s="2" t="s">
        <v>661</v>
      </c>
      <c r="X40" t="str">
        <f t="shared" si="0"/>
        <v xml:space="preserve">// Row: Sd_n[5:0] = 100100
				{3'sd+2,  3'sd0,  3'sd0,  -3'sd1} : sdn_recovered = {3'b001, 6'b100100}; // Col [001]
				{3'sd+2,  3'sd0,  3'sd+1,  -3'sd2} : sdn_recovered = {3'b011, 6'b100100}; // Col [011]
				{3'sd+2,  3'sd+1,  3'sd+1,  -3'sd1} : sdn_recovered = {3'b101, 6'b100100}; // Col [101]
				{3'sd+2,  3'sd+1,  3'sd0,  -3'sd2} : sdn_recovered = {3'b111, 6'b100100}; // Col [111]
</v>
      </c>
      <c r="Y40" s="25"/>
    </row>
    <row r="41" spans="1:25" x14ac:dyDescent="0.25">
      <c r="A41" s="1" t="s">
        <v>138</v>
      </c>
      <c r="B41" s="1" t="str" cm="1">
        <f t="array" ref="B41:S41">_xlfn.TEXTSPLIT(TRIM(A41), {" ",",",", "})</f>
        <v>Normal</v>
      </c>
      <c r="C41" s="10" t="str">
        <v>100101</v>
      </c>
      <c r="D41" s="12" t="str">
        <v>+2</v>
      </c>
      <c r="E41" s="1" t="str">
        <v>-2</v>
      </c>
      <c r="F41" s="1" t="str">
        <v>0</v>
      </c>
      <c r="G41" s="13" t="str">
        <v>-1</v>
      </c>
      <c r="H41" s="12" t="str">
        <v>+2</v>
      </c>
      <c r="I41" s="1" t="str">
        <v>-2</v>
      </c>
      <c r="J41" s="1" t="str">
        <v>+1</v>
      </c>
      <c r="K41" s="13" t="str">
        <v>-2</v>
      </c>
      <c r="L41" s="12" t="str">
        <v>+2</v>
      </c>
      <c r="M41" s="1" t="str">
        <v>-1</v>
      </c>
      <c r="N41" s="1" t="str">
        <v>+1</v>
      </c>
      <c r="O41" s="13" t="str">
        <v>-1</v>
      </c>
      <c r="P41" s="12" t="str">
        <v>+2</v>
      </c>
      <c r="Q41" s="1" t="str">
        <v>-1</v>
      </c>
      <c r="R41" s="1" t="str">
        <v>0</v>
      </c>
      <c r="S41" s="13" t="str">
        <v>-2</v>
      </c>
      <c r="T41" s="11" t="s">
        <v>662</v>
      </c>
      <c r="U41" s="2" t="s">
        <v>663</v>
      </c>
      <c r="V41" s="2" t="s">
        <v>664</v>
      </c>
      <c r="W41" s="2" t="s">
        <v>665</v>
      </c>
      <c r="X41" t="str">
        <f t="shared" si="0"/>
        <v xml:space="preserve">// Row: Sd_n[5:0] = 100101
				{3'sd+2,  -3'sd2,  3'sd0,  -3'sd1} : sdn_recovered = {3'b001, 6'b100101}; // Col [001]
				{3'sd+2,  -3'sd2,  3'sd+1,  -3'sd2} : sdn_recovered = {3'b011, 6'b100101}; // Col [011]
				{3'sd+2,  -3'sd1,  3'sd+1,  -3'sd1} : sdn_recovered = {3'b101, 6'b100101}; // Col [101]
				{3'sd+2,  -3'sd1,  3'sd0,  -3'sd2} : sdn_recovered = {3'b111, 6'b100101}; // Col [111]
</v>
      </c>
      <c r="Y41" s="25"/>
    </row>
    <row r="42" spans="1:25" x14ac:dyDescent="0.25">
      <c r="A42" s="1" t="s">
        <v>139</v>
      </c>
      <c r="B42" s="1" t="str" cm="1">
        <f t="array" ref="B42:S42">_xlfn.TEXTSPLIT(TRIM(A42), {" ",",",", "})</f>
        <v>Normal</v>
      </c>
      <c r="C42" s="10" t="str">
        <v>100110</v>
      </c>
      <c r="D42" s="12" t="str">
        <v>+2</v>
      </c>
      <c r="E42" s="1" t="str">
        <v>0</v>
      </c>
      <c r="F42" s="1" t="str">
        <v>-2</v>
      </c>
      <c r="G42" s="13" t="str">
        <v>-1</v>
      </c>
      <c r="H42" s="12" t="str">
        <v>+2</v>
      </c>
      <c r="I42" s="1" t="str">
        <v>0</v>
      </c>
      <c r="J42" s="1" t="str">
        <v>-1</v>
      </c>
      <c r="K42" s="13" t="str">
        <v>-2</v>
      </c>
      <c r="L42" s="12" t="str">
        <v>+2</v>
      </c>
      <c r="M42" s="1" t="str">
        <v>+1</v>
      </c>
      <c r="N42" s="1" t="str">
        <v>-1</v>
      </c>
      <c r="O42" s="13" t="str">
        <v>-1</v>
      </c>
      <c r="P42" s="12" t="str">
        <v>+2</v>
      </c>
      <c r="Q42" s="1" t="str">
        <v>+1</v>
      </c>
      <c r="R42" s="1" t="str">
        <v>-2</v>
      </c>
      <c r="S42" s="13" t="str">
        <v>-2</v>
      </c>
      <c r="T42" s="11" t="s">
        <v>666</v>
      </c>
      <c r="U42" s="2" t="s">
        <v>667</v>
      </c>
      <c r="V42" s="2" t="s">
        <v>668</v>
      </c>
      <c r="W42" s="2" t="s">
        <v>669</v>
      </c>
      <c r="X42" t="str">
        <f t="shared" si="0"/>
        <v xml:space="preserve">// Row: Sd_n[5:0] = 100110
				{3'sd+2,  3'sd0,  -3'sd2,  -3'sd1} : sdn_recovered = {3'b001, 6'b100110}; // Col [001]
				{3'sd+2,  3'sd0,  -3'sd1,  -3'sd2} : sdn_recovered = {3'b011, 6'b100110}; // Col [011]
				{3'sd+2,  3'sd+1,  -3'sd1,  -3'sd1} : sdn_recovered = {3'b101, 6'b100110}; // Col [101]
				{3'sd+2,  3'sd+1,  -3'sd2,  -3'sd2} : sdn_recovered = {3'b111, 6'b100110}; // Col [111]
</v>
      </c>
      <c r="Y42" s="25"/>
    </row>
    <row r="43" spans="1:25" x14ac:dyDescent="0.25">
      <c r="A43" s="1" t="s">
        <v>140</v>
      </c>
      <c r="B43" s="1" t="str" cm="1">
        <f t="array" ref="B43:S43">_xlfn.TEXTSPLIT(TRIM(A43), {" ",",",", "})</f>
        <v>Normal</v>
      </c>
      <c r="C43" s="10" t="str">
        <v>100111</v>
      </c>
      <c r="D43" s="12" t="str">
        <v>+2</v>
      </c>
      <c r="E43" s="1" t="str">
        <v>-2</v>
      </c>
      <c r="F43" s="1" t="str">
        <v>-2</v>
      </c>
      <c r="G43" s="13" t="str">
        <v>-1</v>
      </c>
      <c r="H43" s="12" t="str">
        <v>+2</v>
      </c>
      <c r="I43" s="1" t="str">
        <v>-2</v>
      </c>
      <c r="J43" s="1" t="str">
        <v>-1</v>
      </c>
      <c r="K43" s="13" t="str">
        <v>-2</v>
      </c>
      <c r="L43" s="12" t="str">
        <v>+2</v>
      </c>
      <c r="M43" s="1" t="str">
        <v>-1</v>
      </c>
      <c r="N43" s="1" t="str">
        <v>-1</v>
      </c>
      <c r="O43" s="13" t="str">
        <v>-1</v>
      </c>
      <c r="P43" s="12" t="str">
        <v>+2</v>
      </c>
      <c r="Q43" s="1" t="str">
        <v>-1</v>
      </c>
      <c r="R43" s="1" t="str">
        <v>-2</v>
      </c>
      <c r="S43" s="13" t="str">
        <v>-2</v>
      </c>
      <c r="T43" s="11" t="s">
        <v>670</v>
      </c>
      <c r="U43" s="2" t="s">
        <v>671</v>
      </c>
      <c r="V43" s="2" t="s">
        <v>672</v>
      </c>
      <c r="W43" s="2" t="s">
        <v>673</v>
      </c>
      <c r="X43" t="str">
        <f t="shared" si="0"/>
        <v xml:space="preserve">// Row: Sd_n[5:0] = 100111
				{3'sd+2,  -3'sd2,  -3'sd2,  -3'sd1} : sdn_recovered = {3'b001, 6'b100111}; // Col [001]
				{3'sd+2,  -3'sd2,  -3'sd1,  -3'sd2} : sdn_recovered = {3'b011, 6'b100111}; // Col [011]
				{3'sd+2,  -3'sd1,  -3'sd1,  -3'sd1} : sdn_recovered = {3'b101, 6'b100111}; // Col [101]
				{3'sd+2,  -3'sd1,  -3'sd2,  -3'sd2} : sdn_recovered = {3'b111, 6'b100111}; // Col [111]
</v>
      </c>
      <c r="Y43" s="25"/>
    </row>
    <row r="44" spans="1:25" x14ac:dyDescent="0.25">
      <c r="A44" s="1" t="s">
        <v>141</v>
      </c>
      <c r="B44" s="1" t="str" cm="1">
        <f t="array" ref="B44:S44">_xlfn.TEXTSPLIT(TRIM(A44), {" ",",",", "})</f>
        <v>Normal</v>
      </c>
      <c r="C44" s="10" t="str">
        <v>101000</v>
      </c>
      <c r="D44" s="12" t="str">
        <v>0</v>
      </c>
      <c r="E44" s="1" t="str">
        <v>0</v>
      </c>
      <c r="F44" s="1" t="str">
        <v>+2</v>
      </c>
      <c r="G44" s="13" t="str">
        <v>+1</v>
      </c>
      <c r="H44" s="12" t="str">
        <v>+1</v>
      </c>
      <c r="I44" s="1" t="str">
        <v>+1</v>
      </c>
      <c r="J44" s="1" t="str">
        <v>+2</v>
      </c>
      <c r="K44" s="13" t="str">
        <v>+1</v>
      </c>
      <c r="L44" s="12" t="str">
        <v>+1</v>
      </c>
      <c r="M44" s="1" t="str">
        <v>0</v>
      </c>
      <c r="N44" s="1" t="str">
        <v>+2</v>
      </c>
      <c r="O44" s="13" t="str">
        <v>0</v>
      </c>
      <c r="P44" s="12" t="str">
        <v>0</v>
      </c>
      <c r="Q44" s="1" t="str">
        <v>+1</v>
      </c>
      <c r="R44" s="1" t="str">
        <v>+2</v>
      </c>
      <c r="S44" s="13" t="str">
        <v>0</v>
      </c>
      <c r="T44" s="11" t="s">
        <v>674</v>
      </c>
      <c r="U44" s="2" t="s">
        <v>675</v>
      </c>
      <c r="V44" s="2" t="s">
        <v>676</v>
      </c>
      <c r="W44" s="2" t="s">
        <v>677</v>
      </c>
      <c r="X44" t="str">
        <f t="shared" si="0"/>
        <v xml:space="preserve">// Row: Sd_n[5:0] = 101000
				{3'sd0,  3'sd0,  3'sd+2,  3'sd+1} : sdn_recovered = {3'b001, 6'b101000}; // Col [001]
				{3'sd+1,  3'sd+1,  3'sd+2,  3'sd+1} : sdn_recovered = {3'b011, 6'b101000}; // Col [011]
				{3'sd+1,  3'sd0,  3'sd+2,  3'sd0} : sdn_recovered = {3'b101, 6'b101000}; // Col [101]
				{3'sd0,  3'sd+1,  3'sd+2,  3'sd0} : sdn_recovered = {3'b111, 6'b101000}; // Col [111]
</v>
      </c>
      <c r="Y44" s="25"/>
    </row>
    <row r="45" spans="1:25" x14ac:dyDescent="0.25">
      <c r="A45" s="1" t="s">
        <v>142</v>
      </c>
      <c r="B45" s="1" t="str" cm="1">
        <f t="array" ref="B45:S45">_xlfn.TEXTSPLIT(TRIM(A45), {" ",",",", "})</f>
        <v>Normal</v>
      </c>
      <c r="C45" s="10" t="str">
        <v>101001</v>
      </c>
      <c r="D45" s="12" t="str">
        <v>-2</v>
      </c>
      <c r="E45" s="1" t="str">
        <v>0</v>
      </c>
      <c r="F45" s="1" t="str">
        <v>+2</v>
      </c>
      <c r="G45" s="13" t="str">
        <v>+1</v>
      </c>
      <c r="H45" s="12" t="str">
        <v>-1</v>
      </c>
      <c r="I45" s="1" t="str">
        <v>+1</v>
      </c>
      <c r="J45" s="1" t="str">
        <v>+2</v>
      </c>
      <c r="K45" s="13" t="str">
        <v>+1</v>
      </c>
      <c r="L45" s="12" t="str">
        <v>-1</v>
      </c>
      <c r="M45" s="1" t="str">
        <v>0</v>
      </c>
      <c r="N45" s="1" t="str">
        <v>+2</v>
      </c>
      <c r="O45" s="13" t="str">
        <v>0</v>
      </c>
      <c r="P45" s="12" t="str">
        <v>-2</v>
      </c>
      <c r="Q45" s="1" t="str">
        <v>+1</v>
      </c>
      <c r="R45" s="1" t="str">
        <v>+2</v>
      </c>
      <c r="S45" s="13" t="str">
        <v>0</v>
      </c>
      <c r="T45" s="11" t="s">
        <v>678</v>
      </c>
      <c r="U45" s="2" t="s">
        <v>679</v>
      </c>
      <c r="V45" s="2" t="s">
        <v>680</v>
      </c>
      <c r="W45" s="2" t="s">
        <v>681</v>
      </c>
      <c r="X45" t="str">
        <f t="shared" si="0"/>
        <v xml:space="preserve">// Row: Sd_n[5:0] = 101001
				{-3'sd2,  3'sd0,  3'sd+2,  3'sd+1} : sdn_recovered = {3'b001, 6'b101001}; // Col [001]
				{-3'sd1,  3'sd+1,  3'sd+2,  3'sd+1} : sdn_recovered = {3'b011, 6'b101001}; // Col [011]
				{-3'sd1,  3'sd0,  3'sd+2,  3'sd0} : sdn_recovered = {3'b101, 6'b101001}; // Col [101]
				{-3'sd2,  3'sd+1,  3'sd+2,  3'sd0} : sdn_recovered = {3'b111, 6'b101001}; // Col [111]
</v>
      </c>
      <c r="Y45" s="25"/>
    </row>
    <row r="46" spans="1:25" x14ac:dyDescent="0.25">
      <c r="A46" s="1" t="s">
        <v>143</v>
      </c>
      <c r="B46" s="1" t="str" cm="1">
        <f t="array" ref="B46:S46">_xlfn.TEXTSPLIT(TRIM(A46), {" ",",",", "})</f>
        <v>Normal</v>
      </c>
      <c r="C46" s="10" t="str">
        <v>101010</v>
      </c>
      <c r="D46" s="12" t="str">
        <v>0</v>
      </c>
      <c r="E46" s="1" t="str">
        <v>-2</v>
      </c>
      <c r="F46" s="1" t="str">
        <v>+2</v>
      </c>
      <c r="G46" s="13" t="str">
        <v>+1</v>
      </c>
      <c r="H46" s="12" t="str">
        <v>+1</v>
      </c>
      <c r="I46" s="1" t="str">
        <v>-1</v>
      </c>
      <c r="J46" s="1" t="str">
        <v>+2</v>
      </c>
      <c r="K46" s="13" t="str">
        <v>+1</v>
      </c>
      <c r="L46" s="12" t="str">
        <v>+1</v>
      </c>
      <c r="M46" s="1" t="str">
        <v>-2</v>
      </c>
      <c r="N46" s="1" t="str">
        <v>+2</v>
      </c>
      <c r="O46" s="13" t="str">
        <v>0</v>
      </c>
      <c r="P46" s="12" t="str">
        <v>0</v>
      </c>
      <c r="Q46" s="1" t="str">
        <v>-1</v>
      </c>
      <c r="R46" s="1" t="str">
        <v>+2</v>
      </c>
      <c r="S46" s="13" t="str">
        <v>0</v>
      </c>
      <c r="T46" s="11" t="s">
        <v>682</v>
      </c>
      <c r="U46" s="2" t="s">
        <v>683</v>
      </c>
      <c r="V46" s="2" t="s">
        <v>684</v>
      </c>
      <c r="W46" s="2" t="s">
        <v>685</v>
      </c>
      <c r="X46" t="str">
        <f t="shared" si="0"/>
        <v xml:space="preserve">// Row: Sd_n[5:0] = 101010
				{3'sd0,  -3'sd2,  3'sd+2,  3'sd+1} : sdn_recovered = {3'b001, 6'b101010}; // Col [001]
				{3'sd+1,  -3'sd1,  3'sd+2,  3'sd+1} : sdn_recovered = {3'b011, 6'b101010}; // Col [011]
				{3'sd+1,  -3'sd2,  3'sd+2,  3'sd0} : sdn_recovered = {3'b101, 6'b101010}; // Col [101]
				{3'sd0,  -3'sd1,  3'sd+2,  3'sd0} : sdn_recovered = {3'b111, 6'b101010}; // Col [111]
</v>
      </c>
      <c r="Y46" s="25"/>
    </row>
    <row r="47" spans="1:25" x14ac:dyDescent="0.25">
      <c r="A47" s="1" t="s">
        <v>144</v>
      </c>
      <c r="B47" s="1" t="str" cm="1">
        <f t="array" ref="B47:S47">_xlfn.TEXTSPLIT(TRIM(A47), {" ",",",", "})</f>
        <v>Normal</v>
      </c>
      <c r="C47" s="10" t="str">
        <v>101011</v>
      </c>
      <c r="D47" s="12" t="str">
        <v>-2</v>
      </c>
      <c r="E47" s="1" t="str">
        <v>-2</v>
      </c>
      <c r="F47" s="1" t="str">
        <v>+2</v>
      </c>
      <c r="G47" s="13" t="str">
        <v>+1</v>
      </c>
      <c r="H47" s="12" t="str">
        <v>-1</v>
      </c>
      <c r="I47" s="1" t="str">
        <v>-1</v>
      </c>
      <c r="J47" s="1" t="str">
        <v>+2</v>
      </c>
      <c r="K47" s="13" t="str">
        <v>+1</v>
      </c>
      <c r="L47" s="12" t="str">
        <v>-1</v>
      </c>
      <c r="M47" s="1" t="str">
        <v>-2</v>
      </c>
      <c r="N47" s="1" t="str">
        <v>+2</v>
      </c>
      <c r="O47" s="13" t="str">
        <v>0</v>
      </c>
      <c r="P47" s="12" t="str">
        <v>-2</v>
      </c>
      <c r="Q47" s="1" t="str">
        <v>-1</v>
      </c>
      <c r="R47" s="1" t="str">
        <v>+2</v>
      </c>
      <c r="S47" s="13" t="str">
        <v>0</v>
      </c>
      <c r="T47" s="11" t="s">
        <v>686</v>
      </c>
      <c r="U47" s="2" t="s">
        <v>687</v>
      </c>
      <c r="V47" s="2" t="s">
        <v>688</v>
      </c>
      <c r="W47" s="2" t="s">
        <v>689</v>
      </c>
      <c r="X47" t="str">
        <f t="shared" si="0"/>
        <v xml:space="preserve">// Row: Sd_n[5:0] = 101011
				{-3'sd2,  -3'sd2,  3'sd+2,  3'sd+1} : sdn_recovered = {3'b001, 6'b101011}; // Col [001]
				{-3'sd1,  -3'sd1,  3'sd+2,  3'sd+1} : sdn_recovered = {3'b011, 6'b101011}; // Col [011]
				{-3'sd1,  -3'sd2,  3'sd+2,  3'sd0} : sdn_recovered = {3'b101, 6'b101011}; // Col [101]
				{-3'sd2,  -3'sd1,  3'sd+2,  3'sd0} : sdn_recovered = {3'b111, 6'b101011}; // Col [111]
</v>
      </c>
      <c r="Y47" s="25"/>
    </row>
    <row r="48" spans="1:25" x14ac:dyDescent="0.25">
      <c r="A48" s="1" t="s">
        <v>145</v>
      </c>
      <c r="B48" s="1" t="str" cm="1">
        <f t="array" ref="B48:S48">_xlfn.TEXTSPLIT(TRIM(A48), {" ",",",", "})</f>
        <v>Normal</v>
      </c>
      <c r="C48" s="10" t="str">
        <v>101100</v>
      </c>
      <c r="D48" s="12" t="str">
        <v>0</v>
      </c>
      <c r="E48" s="1" t="str">
        <v>0</v>
      </c>
      <c r="F48" s="1" t="str">
        <v>+2</v>
      </c>
      <c r="G48" s="13" t="str">
        <v>-1</v>
      </c>
      <c r="H48" s="12" t="str">
        <v>+1</v>
      </c>
      <c r="I48" s="1" t="str">
        <v>+1</v>
      </c>
      <c r="J48" s="1" t="str">
        <v>+2</v>
      </c>
      <c r="K48" s="13" t="str">
        <v>-1</v>
      </c>
      <c r="L48" s="12" t="str">
        <v>+1</v>
      </c>
      <c r="M48" s="1" t="str">
        <v>0</v>
      </c>
      <c r="N48" s="1" t="str">
        <v>+2</v>
      </c>
      <c r="O48" s="13" t="str">
        <v>-2</v>
      </c>
      <c r="P48" s="12" t="str">
        <v>0</v>
      </c>
      <c r="Q48" s="1" t="str">
        <v>+1</v>
      </c>
      <c r="R48" s="1" t="str">
        <v>+2</v>
      </c>
      <c r="S48" s="13" t="str">
        <v>-2</v>
      </c>
      <c r="T48" s="11" t="s">
        <v>690</v>
      </c>
      <c r="U48" s="2" t="s">
        <v>691</v>
      </c>
      <c r="V48" s="2" t="s">
        <v>692</v>
      </c>
      <c r="W48" s="2" t="s">
        <v>693</v>
      </c>
      <c r="X48" t="str">
        <f t="shared" si="0"/>
        <v xml:space="preserve">// Row: Sd_n[5:0] = 101100
				{3'sd0,  3'sd0,  3'sd+2,  -3'sd1} : sdn_recovered = {3'b001, 6'b101100}; // Col [001]
				{3'sd+1,  3'sd+1,  3'sd+2,  -3'sd1} : sdn_recovered = {3'b011, 6'b101100}; // Col [011]
				{3'sd+1,  3'sd0,  3'sd+2,  -3'sd2} : sdn_recovered = {3'b101, 6'b101100}; // Col [101]
				{3'sd0,  3'sd+1,  3'sd+2,  -3'sd2} : sdn_recovered = {3'b111, 6'b101100}; // Col [111]
</v>
      </c>
      <c r="Y48" s="25"/>
    </row>
    <row r="49" spans="1:25" x14ac:dyDescent="0.25">
      <c r="A49" s="1" t="s">
        <v>146</v>
      </c>
      <c r="B49" s="1" t="str" cm="1">
        <f t="array" ref="B49:S49">_xlfn.TEXTSPLIT(TRIM(A49), {" ",",",", "})</f>
        <v>Normal</v>
      </c>
      <c r="C49" s="10" t="str">
        <v>101101</v>
      </c>
      <c r="D49" s="12" t="str">
        <v>-2</v>
      </c>
      <c r="E49" s="1" t="str">
        <v>0</v>
      </c>
      <c r="F49" s="1" t="str">
        <v>+2</v>
      </c>
      <c r="G49" s="13" t="str">
        <v>-1</v>
      </c>
      <c r="H49" s="12" t="str">
        <v>-1</v>
      </c>
      <c r="I49" s="1" t="str">
        <v>+1</v>
      </c>
      <c r="J49" s="1" t="str">
        <v>+2</v>
      </c>
      <c r="K49" s="13" t="str">
        <v>-1</v>
      </c>
      <c r="L49" s="12" t="str">
        <v>-1</v>
      </c>
      <c r="M49" s="1" t="str">
        <v>0</v>
      </c>
      <c r="N49" s="1" t="str">
        <v>+2</v>
      </c>
      <c r="O49" s="13" t="str">
        <v>-2</v>
      </c>
      <c r="P49" s="12" t="str">
        <v>-2</v>
      </c>
      <c r="Q49" s="1" t="str">
        <v>+1</v>
      </c>
      <c r="R49" s="1" t="str">
        <v>+2</v>
      </c>
      <c r="S49" s="13" t="str">
        <v>-2</v>
      </c>
      <c r="T49" s="11" t="s">
        <v>694</v>
      </c>
      <c r="U49" s="2" t="s">
        <v>695</v>
      </c>
      <c r="V49" s="2" t="s">
        <v>696</v>
      </c>
      <c r="W49" s="2" t="s">
        <v>697</v>
      </c>
      <c r="X49" t="str">
        <f t="shared" si="0"/>
        <v xml:space="preserve">// Row: Sd_n[5:0] = 101101
				{-3'sd2,  3'sd0,  3'sd+2,  -3'sd1} : sdn_recovered = {3'b001, 6'b101101}; // Col [001]
				{-3'sd1,  3'sd+1,  3'sd+2,  -3'sd1} : sdn_recovered = {3'b011, 6'b101101}; // Col [011]
				{-3'sd1,  3'sd0,  3'sd+2,  -3'sd2} : sdn_recovered = {3'b101, 6'b101101}; // Col [101]
				{-3'sd2,  3'sd+1,  3'sd+2,  -3'sd2} : sdn_recovered = {3'b111, 6'b101101}; // Col [111]
</v>
      </c>
      <c r="Y49" s="25"/>
    </row>
    <row r="50" spans="1:25" x14ac:dyDescent="0.25">
      <c r="A50" s="1" t="s">
        <v>147</v>
      </c>
      <c r="B50" s="1" t="str" cm="1">
        <f t="array" ref="B50:S50">_xlfn.TEXTSPLIT(TRIM(A50), {" ",",",", "})</f>
        <v>Normal</v>
      </c>
      <c r="C50" s="10" t="str">
        <v>101110</v>
      </c>
      <c r="D50" s="12" t="str">
        <v>0</v>
      </c>
      <c r="E50" s="1" t="str">
        <v>-2</v>
      </c>
      <c r="F50" s="1" t="str">
        <v>+2</v>
      </c>
      <c r="G50" s="13" t="str">
        <v>-1</v>
      </c>
      <c r="H50" s="12" t="str">
        <v>+1</v>
      </c>
      <c r="I50" s="1" t="str">
        <v>-1</v>
      </c>
      <c r="J50" s="1" t="str">
        <v>+2</v>
      </c>
      <c r="K50" s="13" t="str">
        <v>-1</v>
      </c>
      <c r="L50" s="12" t="str">
        <v>+1</v>
      </c>
      <c r="M50" s="1" t="str">
        <v>-2</v>
      </c>
      <c r="N50" s="1" t="str">
        <v>+2</v>
      </c>
      <c r="O50" s="13" t="str">
        <v>-2</v>
      </c>
      <c r="P50" s="12" t="str">
        <v>0</v>
      </c>
      <c r="Q50" s="1" t="str">
        <v>-1</v>
      </c>
      <c r="R50" s="1" t="str">
        <v>+2</v>
      </c>
      <c r="S50" s="13" t="str">
        <v>-2</v>
      </c>
      <c r="T50" s="11" t="s">
        <v>698</v>
      </c>
      <c r="U50" s="2" t="s">
        <v>699</v>
      </c>
      <c r="V50" s="2" t="s">
        <v>700</v>
      </c>
      <c r="W50" s="2" t="s">
        <v>701</v>
      </c>
      <c r="X50" t="str">
        <f t="shared" si="0"/>
        <v xml:space="preserve">// Row: Sd_n[5:0] = 101110
				{3'sd0,  -3'sd2,  3'sd+2,  -3'sd1} : sdn_recovered = {3'b001, 6'b101110}; // Col [001]
				{3'sd+1,  -3'sd1,  3'sd+2,  -3'sd1} : sdn_recovered = {3'b011, 6'b101110}; // Col [011]
				{3'sd+1,  -3'sd2,  3'sd+2,  -3'sd2} : sdn_recovered = {3'b101, 6'b101110}; // Col [101]
				{3'sd0,  -3'sd1,  3'sd+2,  -3'sd2} : sdn_recovered = {3'b111, 6'b101110}; // Col [111]
</v>
      </c>
      <c r="Y50" s="25"/>
    </row>
    <row r="51" spans="1:25" x14ac:dyDescent="0.25">
      <c r="A51" s="1" t="s">
        <v>148</v>
      </c>
      <c r="B51" s="1" t="str" cm="1">
        <f t="array" ref="B51:S51">_xlfn.TEXTSPLIT(TRIM(A51), {" ",",",", "})</f>
        <v>Normal</v>
      </c>
      <c r="C51" s="10" t="str">
        <v>101111</v>
      </c>
      <c r="D51" s="12" t="str">
        <v>-2</v>
      </c>
      <c r="E51" s="1" t="str">
        <v>-2</v>
      </c>
      <c r="F51" s="1" t="str">
        <v>+2</v>
      </c>
      <c r="G51" s="13" t="str">
        <v>-1</v>
      </c>
      <c r="H51" s="12" t="str">
        <v>-1</v>
      </c>
      <c r="I51" s="1" t="str">
        <v>-1</v>
      </c>
      <c r="J51" s="1" t="str">
        <v>+2</v>
      </c>
      <c r="K51" s="13" t="str">
        <v>-1</v>
      </c>
      <c r="L51" s="12" t="str">
        <v>-1</v>
      </c>
      <c r="M51" s="1" t="str">
        <v>-2</v>
      </c>
      <c r="N51" s="1" t="str">
        <v>+2</v>
      </c>
      <c r="O51" s="13" t="str">
        <v>-2</v>
      </c>
      <c r="P51" s="12" t="str">
        <v>-2</v>
      </c>
      <c r="Q51" s="1" t="str">
        <v>-1</v>
      </c>
      <c r="R51" s="1" t="str">
        <v>+2</v>
      </c>
      <c r="S51" s="13" t="str">
        <v>-2</v>
      </c>
      <c r="T51" s="11" t="s">
        <v>702</v>
      </c>
      <c r="U51" s="2" t="s">
        <v>703</v>
      </c>
      <c r="V51" s="2" t="s">
        <v>704</v>
      </c>
      <c r="W51" s="2" t="s">
        <v>705</v>
      </c>
      <c r="X51" t="str">
        <f t="shared" si="0"/>
        <v xml:space="preserve">// Row: Sd_n[5:0] = 101111
				{-3'sd2,  -3'sd2,  3'sd+2,  -3'sd1} : sdn_recovered = {3'b001, 6'b101111}; // Col [001]
				{-3'sd1,  -3'sd1,  3'sd+2,  -3'sd1} : sdn_recovered = {3'b011, 6'b101111}; // Col [011]
				{-3'sd1,  -3'sd2,  3'sd+2,  -3'sd2} : sdn_recovered = {3'b101, 6'b101111}; // Col [101]
				{-3'sd2,  -3'sd1,  3'sd+2,  -3'sd2} : sdn_recovered = {3'b111, 6'b101111}; // Col [111]
</v>
      </c>
      <c r="Y51" s="25"/>
    </row>
    <row r="52" spans="1:25" x14ac:dyDescent="0.25">
      <c r="A52" s="1" t="s">
        <v>149</v>
      </c>
      <c r="B52" s="1" t="str" cm="1">
        <f t="array" ref="B52:S52">_xlfn.TEXTSPLIT(TRIM(A52), {" ",",",", "})</f>
        <v>Normal</v>
      </c>
      <c r="C52" s="10" t="str">
        <v>110000</v>
      </c>
      <c r="D52" s="12" t="str">
        <v>0</v>
      </c>
      <c r="E52" s="1" t="str">
        <v>+2</v>
      </c>
      <c r="F52" s="1" t="str">
        <v>0</v>
      </c>
      <c r="G52" s="13" t="str">
        <v>+1</v>
      </c>
      <c r="H52" s="12" t="str">
        <v>0</v>
      </c>
      <c r="I52" s="1" t="str">
        <v>+2</v>
      </c>
      <c r="J52" s="1" t="str">
        <v>+1</v>
      </c>
      <c r="K52" s="13" t="str">
        <v>0</v>
      </c>
      <c r="L52" s="12" t="str">
        <v>+1</v>
      </c>
      <c r="M52" s="1" t="str">
        <v>+2</v>
      </c>
      <c r="N52" s="1" t="str">
        <v>0</v>
      </c>
      <c r="O52" s="13" t="str">
        <v>0</v>
      </c>
      <c r="P52" s="12" t="str">
        <v>+1</v>
      </c>
      <c r="Q52" s="1" t="str">
        <v>+2</v>
      </c>
      <c r="R52" s="1" t="str">
        <v>+1</v>
      </c>
      <c r="S52" s="13" t="str">
        <v>+1</v>
      </c>
      <c r="T52" s="11" t="s">
        <v>706</v>
      </c>
      <c r="U52" s="2" t="s">
        <v>707</v>
      </c>
      <c r="V52" s="2" t="s">
        <v>708</v>
      </c>
      <c r="W52" s="2" t="s">
        <v>709</v>
      </c>
      <c r="X52" t="str">
        <f t="shared" si="0"/>
        <v xml:space="preserve">// Row: Sd_n[5:0] = 110000
				{3'sd0,  3'sd+2,  3'sd0,  3'sd+1} : sdn_recovered = {3'b001, 6'b110000}; // Col [001]
				{3'sd0,  3'sd+2,  3'sd+1,  3'sd0} : sdn_recovered = {3'b011, 6'b110000}; // Col [011]
				{3'sd+1,  3'sd+2,  3'sd0,  3'sd0} : sdn_recovered = {3'b101, 6'b110000}; // Col [101]
				{3'sd+1,  3'sd+2,  3'sd+1,  3'sd+1} : sdn_recovered = {3'b111, 6'b110000}; // Col [111]
</v>
      </c>
      <c r="Y52" s="25"/>
    </row>
    <row r="53" spans="1:25" x14ac:dyDescent="0.25">
      <c r="A53" s="1" t="s">
        <v>150</v>
      </c>
      <c r="B53" s="1" t="str" cm="1">
        <f t="array" ref="B53:S53">_xlfn.TEXTSPLIT(TRIM(A53), {" ",",",", "})</f>
        <v>Normal</v>
      </c>
      <c r="C53" s="10" t="str">
        <v>110001</v>
      </c>
      <c r="D53" s="12" t="str">
        <v>-2</v>
      </c>
      <c r="E53" s="1" t="str">
        <v>+2</v>
      </c>
      <c r="F53" s="1" t="str">
        <v>0</v>
      </c>
      <c r="G53" s="13" t="str">
        <v>+1</v>
      </c>
      <c r="H53" s="12" t="str">
        <v>-2</v>
      </c>
      <c r="I53" s="1" t="str">
        <v>+2</v>
      </c>
      <c r="J53" s="1" t="str">
        <v>+1</v>
      </c>
      <c r="K53" s="13" t="str">
        <v>0</v>
      </c>
      <c r="L53" s="12" t="str">
        <v>-1</v>
      </c>
      <c r="M53" s="1" t="str">
        <v>+2</v>
      </c>
      <c r="N53" s="1" t="str">
        <v>0</v>
      </c>
      <c r="O53" s="13" t="str">
        <v>0</v>
      </c>
      <c r="P53" s="12" t="str">
        <v>-1</v>
      </c>
      <c r="Q53" s="1" t="str">
        <v>+2</v>
      </c>
      <c r="R53" s="1" t="str">
        <v>+1</v>
      </c>
      <c r="S53" s="13" t="str">
        <v>+1</v>
      </c>
      <c r="T53" s="11" t="s">
        <v>710</v>
      </c>
      <c r="U53" s="2" t="s">
        <v>711</v>
      </c>
      <c r="V53" s="2" t="s">
        <v>712</v>
      </c>
      <c r="W53" s="2" t="s">
        <v>713</v>
      </c>
      <c r="X53" t="str">
        <f t="shared" si="0"/>
        <v xml:space="preserve">// Row: Sd_n[5:0] = 110001
				{-3'sd2,  3'sd+2,  3'sd0,  3'sd+1} : sdn_recovered = {3'b001, 6'b110001}; // Col [001]
				{-3'sd2,  3'sd+2,  3'sd+1,  3'sd0} : sdn_recovered = {3'b011, 6'b110001}; // Col [011]
				{-3'sd1,  3'sd+2,  3'sd0,  3'sd0} : sdn_recovered = {3'b101, 6'b110001}; // Col [101]
				{-3'sd1,  3'sd+2,  3'sd+1,  3'sd+1} : sdn_recovered = {3'b111, 6'b110001}; // Col [111]
</v>
      </c>
      <c r="Y53" s="25"/>
    </row>
    <row r="54" spans="1:25" x14ac:dyDescent="0.25">
      <c r="A54" s="1" t="s">
        <v>151</v>
      </c>
      <c r="B54" s="1" t="str" cm="1">
        <f t="array" ref="B54:S54">_xlfn.TEXTSPLIT(TRIM(A54), {" ",",",", "})</f>
        <v>Normal</v>
      </c>
      <c r="C54" s="10" t="str">
        <v>110010</v>
      </c>
      <c r="D54" s="12" t="str">
        <v>0</v>
      </c>
      <c r="E54" s="1" t="str">
        <v>+2</v>
      </c>
      <c r="F54" s="1" t="str">
        <v>-2</v>
      </c>
      <c r="G54" s="13" t="str">
        <v>+1</v>
      </c>
      <c r="H54" s="12" t="str">
        <v>0</v>
      </c>
      <c r="I54" s="1" t="str">
        <v>+2</v>
      </c>
      <c r="J54" s="1" t="str">
        <v>-1</v>
      </c>
      <c r="K54" s="13" t="str">
        <v>0</v>
      </c>
      <c r="L54" s="12" t="str">
        <v>+1</v>
      </c>
      <c r="M54" s="1" t="str">
        <v>+2</v>
      </c>
      <c r="N54" s="1" t="str">
        <v>-2</v>
      </c>
      <c r="O54" s="13" t="str">
        <v>0</v>
      </c>
      <c r="P54" s="12" t="str">
        <v>+1</v>
      </c>
      <c r="Q54" s="1" t="str">
        <v>+2</v>
      </c>
      <c r="R54" s="1" t="str">
        <v>-1</v>
      </c>
      <c r="S54" s="13" t="str">
        <v>+1</v>
      </c>
      <c r="T54" s="11" t="s">
        <v>714</v>
      </c>
      <c r="U54" s="2" t="s">
        <v>715</v>
      </c>
      <c r="V54" s="2" t="s">
        <v>716</v>
      </c>
      <c r="W54" s="2" t="s">
        <v>717</v>
      </c>
      <c r="X54" t="str">
        <f t="shared" si="0"/>
        <v xml:space="preserve">// Row: Sd_n[5:0] = 110010
				{3'sd0,  3'sd+2,  -3'sd2,  3'sd+1} : sdn_recovered = {3'b001, 6'b110010}; // Col [001]
				{3'sd0,  3'sd+2,  -3'sd1,  3'sd0} : sdn_recovered = {3'b011, 6'b110010}; // Col [011]
				{3'sd+1,  3'sd+2,  -3'sd2,  3'sd0} : sdn_recovered = {3'b101, 6'b110010}; // Col [101]
				{3'sd+1,  3'sd+2,  -3'sd1,  3'sd+1} : sdn_recovered = {3'b111, 6'b110010}; // Col [111]
</v>
      </c>
      <c r="Y54" s="25"/>
    </row>
    <row r="55" spans="1:25" x14ac:dyDescent="0.25">
      <c r="A55" s="1" t="s">
        <v>152</v>
      </c>
      <c r="B55" s="1" t="str" cm="1">
        <f t="array" ref="B55:S55">_xlfn.TEXTSPLIT(TRIM(A55), {" ",",",", "})</f>
        <v>Normal</v>
      </c>
      <c r="C55" s="10" t="str">
        <v>110011</v>
      </c>
      <c r="D55" s="12" t="str">
        <v>-2</v>
      </c>
      <c r="E55" s="1" t="str">
        <v>+2</v>
      </c>
      <c r="F55" s="1" t="str">
        <v>-2</v>
      </c>
      <c r="G55" s="13" t="str">
        <v>+1</v>
      </c>
      <c r="H55" s="12" t="str">
        <v>-2</v>
      </c>
      <c r="I55" s="1" t="str">
        <v>+2</v>
      </c>
      <c r="J55" s="1" t="str">
        <v>-1</v>
      </c>
      <c r="K55" s="13" t="str">
        <v>0</v>
      </c>
      <c r="L55" s="12" t="str">
        <v>-1</v>
      </c>
      <c r="M55" s="1" t="str">
        <v>+2</v>
      </c>
      <c r="N55" s="1" t="str">
        <v>-2</v>
      </c>
      <c r="O55" s="13" t="str">
        <v>0</v>
      </c>
      <c r="P55" s="12" t="str">
        <v>-1</v>
      </c>
      <c r="Q55" s="1" t="str">
        <v>+2</v>
      </c>
      <c r="R55" s="1" t="str">
        <v>-1</v>
      </c>
      <c r="S55" s="13" t="str">
        <v>+1</v>
      </c>
      <c r="T55" s="11" t="s">
        <v>718</v>
      </c>
      <c r="U55" s="2" t="s">
        <v>719</v>
      </c>
      <c r="V55" s="2" t="s">
        <v>720</v>
      </c>
      <c r="W55" s="2" t="s">
        <v>721</v>
      </c>
      <c r="X55" t="str">
        <f t="shared" si="0"/>
        <v xml:space="preserve">// Row: Sd_n[5:0] = 110011
				{-3'sd2,  3'sd+2,  -3'sd2,  3'sd+1} : sdn_recovered = {3'b001, 6'b110011}; // Col [001]
				{-3'sd2,  3'sd+2,  -3'sd1,  3'sd0} : sdn_recovered = {3'b011, 6'b110011}; // Col [011]
				{-3'sd1,  3'sd+2,  -3'sd2,  3'sd0} : sdn_recovered = {3'b101, 6'b110011}; // Col [101]
				{-3'sd1,  3'sd+2,  -3'sd1,  3'sd+1} : sdn_recovered = {3'b111, 6'b110011}; // Col [111]
</v>
      </c>
      <c r="Y55" s="25"/>
    </row>
    <row r="56" spans="1:25" x14ac:dyDescent="0.25">
      <c r="A56" s="1" t="s">
        <v>153</v>
      </c>
      <c r="B56" s="1" t="str" cm="1">
        <f t="array" ref="B56:S56">_xlfn.TEXTSPLIT(TRIM(A56), {" ",",",", "})</f>
        <v>Normal</v>
      </c>
      <c r="C56" s="10" t="str">
        <v>110100</v>
      </c>
      <c r="D56" s="12" t="str">
        <v>0</v>
      </c>
      <c r="E56" s="1" t="str">
        <v>+2</v>
      </c>
      <c r="F56" s="1" t="str">
        <v>0</v>
      </c>
      <c r="G56" s="13" t="str">
        <v>-1</v>
      </c>
      <c r="H56" s="12" t="str">
        <v>0</v>
      </c>
      <c r="I56" s="1" t="str">
        <v>+2</v>
      </c>
      <c r="J56" s="1" t="str">
        <v>+1</v>
      </c>
      <c r="K56" s="13" t="str">
        <v>-2</v>
      </c>
      <c r="L56" s="12" t="str">
        <v>+1</v>
      </c>
      <c r="M56" s="1" t="str">
        <v>+2</v>
      </c>
      <c r="N56" s="1" t="str">
        <v>0</v>
      </c>
      <c r="O56" s="13" t="str">
        <v>-2</v>
      </c>
      <c r="P56" s="12" t="str">
        <v>+1</v>
      </c>
      <c r="Q56" s="1" t="str">
        <v>+2</v>
      </c>
      <c r="R56" s="1" t="str">
        <v>+1</v>
      </c>
      <c r="S56" s="13" t="str">
        <v>-1</v>
      </c>
      <c r="T56" s="11" t="s">
        <v>722</v>
      </c>
      <c r="U56" s="2" t="s">
        <v>723</v>
      </c>
      <c r="V56" s="2" t="s">
        <v>724</v>
      </c>
      <c r="W56" s="2" t="s">
        <v>725</v>
      </c>
      <c r="X56" t="str">
        <f t="shared" si="0"/>
        <v xml:space="preserve">// Row: Sd_n[5:0] = 110100
				{3'sd0,  3'sd+2,  3'sd0,  -3'sd1} : sdn_recovered = {3'b001, 6'b110100}; // Col [001]
				{3'sd0,  3'sd+2,  3'sd+1,  -3'sd2} : sdn_recovered = {3'b011, 6'b110100}; // Col [011]
				{3'sd+1,  3'sd+2,  3'sd0,  -3'sd2} : sdn_recovered = {3'b101, 6'b110100}; // Col [101]
				{3'sd+1,  3'sd+2,  3'sd+1,  -3'sd1} : sdn_recovered = {3'b111, 6'b110100}; // Col [111]
</v>
      </c>
      <c r="Y56" s="25"/>
    </row>
    <row r="57" spans="1:25" x14ac:dyDescent="0.25">
      <c r="A57" s="1" t="s">
        <v>154</v>
      </c>
      <c r="B57" s="1" t="str" cm="1">
        <f t="array" ref="B57:S57">_xlfn.TEXTSPLIT(TRIM(A57), {" ",",",", "})</f>
        <v>Normal</v>
      </c>
      <c r="C57" s="10" t="str">
        <v>110101</v>
      </c>
      <c r="D57" s="12" t="str">
        <v>-2</v>
      </c>
      <c r="E57" s="1" t="str">
        <v>+2</v>
      </c>
      <c r="F57" s="1" t="str">
        <v>0</v>
      </c>
      <c r="G57" s="13" t="str">
        <v>-1</v>
      </c>
      <c r="H57" s="12" t="str">
        <v>-2</v>
      </c>
      <c r="I57" s="1" t="str">
        <v>+2</v>
      </c>
      <c r="J57" s="1" t="str">
        <v>+1</v>
      </c>
      <c r="K57" s="13" t="str">
        <v>-2</v>
      </c>
      <c r="L57" s="12" t="str">
        <v>-1</v>
      </c>
      <c r="M57" s="1" t="str">
        <v>+2</v>
      </c>
      <c r="N57" s="1" t="str">
        <v>0</v>
      </c>
      <c r="O57" s="13" t="str">
        <v>-2</v>
      </c>
      <c r="P57" s="12" t="str">
        <v>-1</v>
      </c>
      <c r="Q57" s="1" t="str">
        <v>+2</v>
      </c>
      <c r="R57" s="1" t="str">
        <v>+1</v>
      </c>
      <c r="S57" s="13" t="str">
        <v>-1</v>
      </c>
      <c r="T57" s="11" t="s">
        <v>726</v>
      </c>
      <c r="U57" s="2" t="s">
        <v>727</v>
      </c>
      <c r="V57" s="2" t="s">
        <v>728</v>
      </c>
      <c r="W57" s="2" t="s">
        <v>729</v>
      </c>
      <c r="X57" t="str">
        <f t="shared" si="0"/>
        <v xml:space="preserve">// Row: Sd_n[5:0] = 110101
				{-3'sd2,  3'sd+2,  3'sd0,  -3'sd1} : sdn_recovered = {3'b001, 6'b110101}; // Col [001]
				{-3'sd2,  3'sd+2,  3'sd+1,  -3'sd2} : sdn_recovered = {3'b011, 6'b110101}; // Col [011]
				{-3'sd1,  3'sd+2,  3'sd0,  -3'sd2} : sdn_recovered = {3'b101, 6'b110101}; // Col [101]
				{-3'sd1,  3'sd+2,  3'sd+1,  -3'sd1} : sdn_recovered = {3'b111, 6'b110101}; // Col [111]
</v>
      </c>
      <c r="Y57" s="25"/>
    </row>
    <row r="58" spans="1:25" x14ac:dyDescent="0.25">
      <c r="A58" s="1" t="s">
        <v>155</v>
      </c>
      <c r="B58" s="1" t="str" cm="1">
        <f t="array" ref="B58:S58">_xlfn.TEXTSPLIT(TRIM(A58), {" ",",",", "})</f>
        <v>Normal</v>
      </c>
      <c r="C58" s="10" t="str">
        <v>110110</v>
      </c>
      <c r="D58" s="12" t="str">
        <v>0</v>
      </c>
      <c r="E58" s="1" t="str">
        <v>+2</v>
      </c>
      <c r="F58" s="1" t="str">
        <v>-2</v>
      </c>
      <c r="G58" s="13" t="str">
        <v>-1</v>
      </c>
      <c r="H58" s="12" t="str">
        <v>0</v>
      </c>
      <c r="I58" s="1" t="str">
        <v>+2</v>
      </c>
      <c r="J58" s="1" t="str">
        <v>-1</v>
      </c>
      <c r="K58" s="13" t="str">
        <v>-2</v>
      </c>
      <c r="L58" s="12" t="str">
        <v>+1</v>
      </c>
      <c r="M58" s="1" t="str">
        <v>+2</v>
      </c>
      <c r="N58" s="1" t="str">
        <v>-2</v>
      </c>
      <c r="O58" s="13" t="str">
        <v>-2</v>
      </c>
      <c r="P58" s="12" t="str">
        <v>+1</v>
      </c>
      <c r="Q58" s="1" t="str">
        <v>+2</v>
      </c>
      <c r="R58" s="1" t="str">
        <v>-1</v>
      </c>
      <c r="S58" s="13" t="str">
        <v>-1</v>
      </c>
      <c r="T58" s="11" t="s">
        <v>730</v>
      </c>
      <c r="U58" s="2" t="s">
        <v>731</v>
      </c>
      <c r="V58" s="2" t="s">
        <v>732</v>
      </c>
      <c r="W58" s="2" t="s">
        <v>733</v>
      </c>
      <c r="X58" t="str">
        <f t="shared" si="0"/>
        <v xml:space="preserve">// Row: Sd_n[5:0] = 110110
				{3'sd0,  3'sd+2,  -3'sd2,  -3'sd1} : sdn_recovered = {3'b001, 6'b110110}; // Col [001]
				{3'sd0,  3'sd+2,  -3'sd1,  -3'sd2} : sdn_recovered = {3'b011, 6'b110110}; // Col [011]
				{3'sd+1,  3'sd+2,  -3'sd2,  -3'sd2} : sdn_recovered = {3'b101, 6'b110110}; // Col [101]
				{3'sd+1,  3'sd+2,  -3'sd1,  -3'sd1} : sdn_recovered = {3'b111, 6'b110110}; // Col [111]
</v>
      </c>
      <c r="Y58" s="25"/>
    </row>
    <row r="59" spans="1:25" x14ac:dyDescent="0.25">
      <c r="A59" s="1" t="s">
        <v>156</v>
      </c>
      <c r="B59" s="1" t="str" cm="1">
        <f t="array" ref="B59:S59">_xlfn.TEXTSPLIT(TRIM(A59), {" ",",",", "})</f>
        <v>Normal</v>
      </c>
      <c r="C59" s="10" t="str">
        <v>110111</v>
      </c>
      <c r="D59" s="12" t="str">
        <v>-2</v>
      </c>
      <c r="E59" s="1" t="str">
        <v>+2</v>
      </c>
      <c r="F59" s="1" t="str">
        <v>-2</v>
      </c>
      <c r="G59" s="13" t="str">
        <v>-1</v>
      </c>
      <c r="H59" s="12" t="str">
        <v>-2</v>
      </c>
      <c r="I59" s="1" t="str">
        <v>+2</v>
      </c>
      <c r="J59" s="1" t="str">
        <v>-1</v>
      </c>
      <c r="K59" s="13" t="str">
        <v>-2</v>
      </c>
      <c r="L59" s="12" t="str">
        <v>-1</v>
      </c>
      <c r="M59" s="1" t="str">
        <v>+2</v>
      </c>
      <c r="N59" s="1" t="str">
        <v>-2</v>
      </c>
      <c r="O59" s="13" t="str">
        <v>-2</v>
      </c>
      <c r="P59" s="12" t="str">
        <v>-1</v>
      </c>
      <c r="Q59" s="1" t="str">
        <v>+2</v>
      </c>
      <c r="R59" s="1" t="str">
        <v>-1</v>
      </c>
      <c r="S59" s="13" t="str">
        <v>-1</v>
      </c>
      <c r="T59" s="11" t="s">
        <v>734</v>
      </c>
      <c r="U59" s="2" t="s">
        <v>735</v>
      </c>
      <c r="V59" s="2" t="s">
        <v>736</v>
      </c>
      <c r="W59" s="2" t="s">
        <v>737</v>
      </c>
      <c r="X59" t="str">
        <f t="shared" si="0"/>
        <v xml:space="preserve">// Row: Sd_n[5:0] = 110111
				{-3'sd2,  3'sd+2,  -3'sd2,  -3'sd1} : sdn_recovered = {3'b001, 6'b110111}; // Col [001]
				{-3'sd2,  3'sd+2,  -3'sd1,  -3'sd2} : sdn_recovered = {3'b011, 6'b110111}; // Col [011]
				{-3'sd1,  3'sd+2,  -3'sd2,  -3'sd2} : sdn_recovered = {3'b101, 6'b110111}; // Col [101]
				{-3'sd1,  3'sd+2,  -3'sd1,  -3'sd1} : sdn_recovered = {3'b111, 6'b110111}; // Col [111]
</v>
      </c>
      <c r="Y59" s="25"/>
    </row>
    <row r="60" spans="1:25" x14ac:dyDescent="0.25">
      <c r="A60" s="1" t="s">
        <v>157</v>
      </c>
      <c r="B60" s="1" t="str" cm="1">
        <f t="array" ref="B60:S60">_xlfn.TEXTSPLIT(TRIM(A60), {" ",",",", "})</f>
        <v>Normal</v>
      </c>
      <c r="C60" s="10" t="str">
        <v>111000</v>
      </c>
      <c r="D60" s="12" t="str">
        <v>+1</v>
      </c>
      <c r="E60" s="1" t="str">
        <v>+1</v>
      </c>
      <c r="F60" s="1" t="str">
        <v>+1</v>
      </c>
      <c r="G60" s="13" t="str">
        <v>+2</v>
      </c>
      <c r="H60" s="12" t="str">
        <v>0</v>
      </c>
      <c r="I60" s="1" t="str">
        <v>0</v>
      </c>
      <c r="J60" s="1" t="str">
        <v>+1</v>
      </c>
      <c r="K60" s="13" t="str">
        <v>+2</v>
      </c>
      <c r="L60" s="12" t="str">
        <v>+1</v>
      </c>
      <c r="M60" s="1" t="str">
        <v>0</v>
      </c>
      <c r="N60" s="1" t="str">
        <v>0</v>
      </c>
      <c r="O60" s="13" t="str">
        <v>+2</v>
      </c>
      <c r="P60" s="12" t="str">
        <v>0</v>
      </c>
      <c r="Q60" s="1" t="str">
        <v>+1</v>
      </c>
      <c r="R60" s="1" t="str">
        <v>0</v>
      </c>
      <c r="S60" s="13" t="str">
        <v>+2</v>
      </c>
      <c r="T60" s="11" t="s">
        <v>738</v>
      </c>
      <c r="U60" s="2" t="s">
        <v>739</v>
      </c>
      <c r="V60" s="2" t="s">
        <v>740</v>
      </c>
      <c r="W60" s="2" t="s">
        <v>741</v>
      </c>
      <c r="X60" t="str">
        <f t="shared" si="0"/>
        <v xml:space="preserve">// Row: Sd_n[5:0] = 111000
				{3'sd+1,  3'sd+1,  3'sd+1,  3'sd+2} : sdn_recovered = {3'b001, 6'b111000}; // Col [001]
				{3'sd0,  3'sd0,  3'sd+1,  3'sd+2} : sdn_recovered = {3'b011, 6'b111000}; // Col [011]
				{3'sd+1,  3'sd0,  3'sd0,  3'sd+2} : sdn_recovered = {3'b101, 6'b111000}; // Col [101]
				{3'sd0,  3'sd+1,  3'sd0,  3'sd+2} : sdn_recovered = {3'b111, 6'b111000}; // Col [111]
</v>
      </c>
      <c r="Y60" s="25"/>
    </row>
    <row r="61" spans="1:25" x14ac:dyDescent="0.25">
      <c r="A61" s="1" t="s">
        <v>158</v>
      </c>
      <c r="B61" s="1" t="str" cm="1">
        <f t="array" ref="B61:S61">_xlfn.TEXTSPLIT(TRIM(A61), {" ",",",", "})</f>
        <v>Normal</v>
      </c>
      <c r="C61" s="10" t="str">
        <v>111001</v>
      </c>
      <c r="D61" s="12" t="str">
        <v>-1</v>
      </c>
      <c r="E61" s="1" t="str">
        <v>+1</v>
      </c>
      <c r="F61" s="1" t="str">
        <v>+1</v>
      </c>
      <c r="G61" s="13" t="str">
        <v>+2</v>
      </c>
      <c r="H61" s="12" t="str">
        <v>-2</v>
      </c>
      <c r="I61" s="1" t="str">
        <v>0</v>
      </c>
      <c r="J61" s="1" t="str">
        <v>+1</v>
      </c>
      <c r="K61" s="13" t="str">
        <v>+2</v>
      </c>
      <c r="L61" s="12" t="str">
        <v>-1</v>
      </c>
      <c r="M61" s="1" t="str">
        <v>0</v>
      </c>
      <c r="N61" s="1" t="str">
        <v>0</v>
      </c>
      <c r="O61" s="13" t="str">
        <v>+2</v>
      </c>
      <c r="P61" s="12" t="str">
        <v>-2</v>
      </c>
      <c r="Q61" s="1" t="str">
        <v>+1</v>
      </c>
      <c r="R61" s="1" t="str">
        <v>0</v>
      </c>
      <c r="S61" s="13" t="str">
        <v>+2</v>
      </c>
      <c r="T61" s="11" t="s">
        <v>742</v>
      </c>
      <c r="U61" s="2" t="s">
        <v>743</v>
      </c>
      <c r="V61" s="2" t="s">
        <v>744</v>
      </c>
      <c r="W61" s="2" t="s">
        <v>745</v>
      </c>
      <c r="X61" t="str">
        <f t="shared" si="0"/>
        <v xml:space="preserve">// Row: Sd_n[5:0] = 111001
				{-3'sd1,  3'sd+1,  3'sd+1,  3'sd+2} : sdn_recovered = {3'b001, 6'b111001}; // Col [001]
				{-3'sd2,  3'sd0,  3'sd+1,  3'sd+2} : sdn_recovered = {3'b011, 6'b111001}; // Col [011]
				{-3'sd1,  3'sd0,  3'sd0,  3'sd+2} : sdn_recovered = {3'b101, 6'b111001}; // Col [101]
				{-3'sd2,  3'sd+1,  3'sd0,  3'sd+2} : sdn_recovered = {3'b111, 6'b111001}; // Col [111]
</v>
      </c>
      <c r="Y61" s="25"/>
    </row>
    <row r="62" spans="1:25" x14ac:dyDescent="0.25">
      <c r="A62" s="1" t="s">
        <v>159</v>
      </c>
      <c r="B62" s="1" t="str" cm="1">
        <f t="array" ref="B62:S62">_xlfn.TEXTSPLIT(TRIM(A62), {" ",",",", "})</f>
        <v>Normal</v>
      </c>
      <c r="C62" s="10" t="str">
        <v>111010</v>
      </c>
      <c r="D62" s="12" t="str">
        <v>+1</v>
      </c>
      <c r="E62" s="1" t="str">
        <v>-1</v>
      </c>
      <c r="F62" s="1" t="str">
        <v>+1</v>
      </c>
      <c r="G62" s="13" t="str">
        <v>+2</v>
      </c>
      <c r="H62" s="12" t="str">
        <v>0</v>
      </c>
      <c r="I62" s="1" t="str">
        <v>-2</v>
      </c>
      <c r="J62" s="1" t="str">
        <v>+1</v>
      </c>
      <c r="K62" s="13" t="str">
        <v>+2</v>
      </c>
      <c r="L62" s="12" t="str">
        <v>+1</v>
      </c>
      <c r="M62" s="1" t="str">
        <v>-2</v>
      </c>
      <c r="N62" s="1" t="str">
        <v>0</v>
      </c>
      <c r="O62" s="13" t="str">
        <v>+2</v>
      </c>
      <c r="P62" s="12" t="str">
        <v>0</v>
      </c>
      <c r="Q62" s="1" t="str">
        <v>-1</v>
      </c>
      <c r="R62" s="1" t="str">
        <v>0</v>
      </c>
      <c r="S62" s="13" t="str">
        <v>+2</v>
      </c>
      <c r="T62" s="11" t="s">
        <v>746</v>
      </c>
      <c r="U62" s="2" t="s">
        <v>747</v>
      </c>
      <c r="V62" s="2" t="s">
        <v>748</v>
      </c>
      <c r="W62" s="2" t="s">
        <v>749</v>
      </c>
      <c r="X62" t="str">
        <f t="shared" si="0"/>
        <v xml:space="preserve">// Row: Sd_n[5:0] = 111010
				{3'sd+1,  -3'sd1,  3'sd+1,  3'sd+2} : sdn_recovered = {3'b001, 6'b111010}; // Col [001]
				{3'sd0,  -3'sd2,  3'sd+1,  3'sd+2} : sdn_recovered = {3'b011, 6'b111010}; // Col [011]
				{3'sd+1,  -3'sd2,  3'sd0,  3'sd+2} : sdn_recovered = {3'b101, 6'b111010}; // Col [101]
				{3'sd0,  -3'sd1,  3'sd0,  3'sd+2} : sdn_recovered = {3'b111, 6'b111010}; // Col [111]
</v>
      </c>
      <c r="Y62" s="25"/>
    </row>
    <row r="63" spans="1:25" x14ac:dyDescent="0.25">
      <c r="A63" s="1" t="s">
        <v>160</v>
      </c>
      <c r="B63" s="1" t="str" cm="1">
        <f t="array" ref="B63:S63">_xlfn.TEXTSPLIT(TRIM(A63), {" ",",",", "})</f>
        <v>Normal</v>
      </c>
      <c r="C63" s="10" t="str">
        <v>111011</v>
      </c>
      <c r="D63" s="12" t="str">
        <v>-1</v>
      </c>
      <c r="E63" s="1" t="str">
        <v>-1</v>
      </c>
      <c r="F63" s="1" t="str">
        <v>+1</v>
      </c>
      <c r="G63" s="13" t="str">
        <v>+2</v>
      </c>
      <c r="H63" s="12" t="str">
        <v>-2</v>
      </c>
      <c r="I63" s="1" t="str">
        <v>-2</v>
      </c>
      <c r="J63" s="1" t="str">
        <v>+1</v>
      </c>
      <c r="K63" s="13" t="str">
        <v>+2</v>
      </c>
      <c r="L63" s="12" t="str">
        <v>-1</v>
      </c>
      <c r="M63" s="1" t="str">
        <v>-2</v>
      </c>
      <c r="N63" s="1" t="str">
        <v>0</v>
      </c>
      <c r="O63" s="13" t="str">
        <v>+2</v>
      </c>
      <c r="P63" s="12" t="str">
        <v>-2</v>
      </c>
      <c r="Q63" s="1" t="str">
        <v>-1</v>
      </c>
      <c r="R63" s="1" t="str">
        <v>0</v>
      </c>
      <c r="S63" s="13" t="str">
        <v>+2</v>
      </c>
      <c r="T63" s="11" t="s">
        <v>750</v>
      </c>
      <c r="U63" s="2" t="s">
        <v>751</v>
      </c>
      <c r="V63" s="2" t="s">
        <v>752</v>
      </c>
      <c r="W63" s="2" t="s">
        <v>753</v>
      </c>
      <c r="X63" t="str">
        <f t="shared" si="0"/>
        <v xml:space="preserve">// Row: Sd_n[5:0] = 111011
				{-3'sd1,  -3'sd1,  3'sd+1,  3'sd+2} : sdn_recovered = {3'b001, 6'b111011}; // Col [001]
				{-3'sd2,  -3'sd2,  3'sd+1,  3'sd+2} : sdn_recovered = {3'b011, 6'b111011}; // Col [011]
				{-3'sd1,  -3'sd2,  3'sd0,  3'sd+2} : sdn_recovered = {3'b101, 6'b111011}; // Col [101]
				{-3'sd2,  -3'sd1,  3'sd0,  3'sd+2} : sdn_recovered = {3'b111, 6'b111011}; // Col [111]
</v>
      </c>
      <c r="Y63" s="25"/>
    </row>
    <row r="64" spans="1:25" x14ac:dyDescent="0.25">
      <c r="A64" s="1" t="s">
        <v>161</v>
      </c>
      <c r="B64" s="1" t="str" cm="1">
        <f t="array" ref="B64:S64">_xlfn.TEXTSPLIT(TRIM(A64), {" ",",",", "})</f>
        <v>Normal</v>
      </c>
      <c r="C64" s="10" t="str">
        <v>111100</v>
      </c>
      <c r="D64" s="12" t="str">
        <v>+1</v>
      </c>
      <c r="E64" s="1" t="str">
        <v>+1</v>
      </c>
      <c r="F64" s="1" t="str">
        <v>-1</v>
      </c>
      <c r="G64" s="13" t="str">
        <v>+2</v>
      </c>
      <c r="H64" s="12" t="str">
        <v>0</v>
      </c>
      <c r="I64" s="1" t="str">
        <v>0</v>
      </c>
      <c r="J64" s="1" t="str">
        <v>-1</v>
      </c>
      <c r="K64" s="13" t="str">
        <v>+2</v>
      </c>
      <c r="L64" s="12" t="str">
        <v>+1</v>
      </c>
      <c r="M64" s="1" t="str">
        <v>0</v>
      </c>
      <c r="N64" s="1" t="str">
        <v>-2</v>
      </c>
      <c r="O64" s="13" t="str">
        <v>+2</v>
      </c>
      <c r="P64" s="12" t="str">
        <v>0</v>
      </c>
      <c r="Q64" s="1" t="str">
        <v>+1</v>
      </c>
      <c r="R64" s="1" t="str">
        <v>-2</v>
      </c>
      <c r="S64" s="13" t="str">
        <v>+2</v>
      </c>
      <c r="T64" s="11" t="s">
        <v>754</v>
      </c>
      <c r="U64" s="2" t="s">
        <v>755</v>
      </c>
      <c r="V64" s="2" t="s">
        <v>756</v>
      </c>
      <c r="W64" s="2" t="s">
        <v>757</v>
      </c>
      <c r="X64" t="str">
        <f t="shared" si="0"/>
        <v xml:space="preserve">// Row: Sd_n[5:0] = 111100
				{3'sd+1,  3'sd+1,  -3'sd1,  3'sd+2} : sdn_recovered = {3'b001, 6'b111100}; // Col [001]
				{3'sd0,  3'sd0,  -3'sd1,  3'sd+2} : sdn_recovered = {3'b011, 6'b111100}; // Col [011]
				{3'sd+1,  3'sd0,  -3'sd2,  3'sd+2} : sdn_recovered = {3'b101, 6'b111100}; // Col [101]
				{3'sd0,  3'sd+1,  -3'sd2,  3'sd+2} : sdn_recovered = {3'b111, 6'b111100}; // Col [111]
</v>
      </c>
      <c r="Y64" s="25"/>
    </row>
    <row r="65" spans="1:25" x14ac:dyDescent="0.25">
      <c r="A65" s="1" t="s">
        <v>162</v>
      </c>
      <c r="B65" s="1" t="str" cm="1">
        <f t="array" ref="B65:S65">_xlfn.TEXTSPLIT(TRIM(A65), {" ",",",", "})</f>
        <v>Normal</v>
      </c>
      <c r="C65" s="10" t="str">
        <v>111101</v>
      </c>
      <c r="D65" s="12" t="str">
        <v>-1</v>
      </c>
      <c r="E65" s="1" t="str">
        <v>+1</v>
      </c>
      <c r="F65" s="1" t="str">
        <v>-1</v>
      </c>
      <c r="G65" s="13" t="str">
        <v>+2</v>
      </c>
      <c r="H65" s="12" t="str">
        <v>-2</v>
      </c>
      <c r="I65" s="1" t="str">
        <v>0</v>
      </c>
      <c r="J65" s="1" t="str">
        <v>-1</v>
      </c>
      <c r="K65" s="13" t="str">
        <v>+2</v>
      </c>
      <c r="L65" s="12" t="str">
        <v>-1</v>
      </c>
      <c r="M65" s="1" t="str">
        <v>0</v>
      </c>
      <c r="N65" s="1" t="str">
        <v>-2</v>
      </c>
      <c r="O65" s="13" t="str">
        <v>+2</v>
      </c>
      <c r="P65" s="12" t="str">
        <v>-2</v>
      </c>
      <c r="Q65" s="1" t="str">
        <v>+1</v>
      </c>
      <c r="R65" s="1" t="str">
        <v>-2</v>
      </c>
      <c r="S65" s="13" t="str">
        <v>+2</v>
      </c>
      <c r="T65" s="11" t="s">
        <v>758</v>
      </c>
      <c r="U65" s="2" t="s">
        <v>759</v>
      </c>
      <c r="V65" s="2" t="s">
        <v>760</v>
      </c>
      <c r="W65" s="2" t="s">
        <v>761</v>
      </c>
      <c r="X65" t="str">
        <f t="shared" si="0"/>
        <v xml:space="preserve">// Row: Sd_n[5:0] = 111101
				{-3'sd1,  3'sd+1,  -3'sd1,  3'sd+2} : sdn_recovered = {3'b001, 6'b111101}; // Col [001]
				{-3'sd2,  3'sd0,  -3'sd1,  3'sd+2} : sdn_recovered = {3'b011, 6'b111101}; // Col [011]
				{-3'sd1,  3'sd0,  -3'sd2,  3'sd+2} : sdn_recovered = {3'b101, 6'b111101}; // Col [101]
				{-3'sd2,  3'sd+1,  -3'sd2,  3'sd+2} : sdn_recovered = {3'b111, 6'b111101}; // Col [111]
</v>
      </c>
      <c r="Y65" s="25"/>
    </row>
    <row r="66" spans="1:25" x14ac:dyDescent="0.25">
      <c r="A66" s="1" t="s">
        <v>163</v>
      </c>
      <c r="B66" s="1" t="str" cm="1">
        <f t="array" ref="B66:S66">_xlfn.TEXTSPLIT(TRIM(A66), {" ",",",", "})</f>
        <v>Normal</v>
      </c>
      <c r="C66" s="10" t="str">
        <v>111110</v>
      </c>
      <c r="D66" s="12" t="str">
        <v>+1</v>
      </c>
      <c r="E66" s="1" t="str">
        <v>-1</v>
      </c>
      <c r="F66" s="1" t="str">
        <v>-1</v>
      </c>
      <c r="G66" s="13" t="str">
        <v>+2</v>
      </c>
      <c r="H66" s="12" t="str">
        <v>0</v>
      </c>
      <c r="I66" s="1" t="str">
        <v>-2</v>
      </c>
      <c r="J66" s="1" t="str">
        <v>-1</v>
      </c>
      <c r="K66" s="13" t="str">
        <v>+2</v>
      </c>
      <c r="L66" s="12" t="str">
        <v>+1</v>
      </c>
      <c r="M66" s="1" t="str">
        <v>-2</v>
      </c>
      <c r="N66" s="1" t="str">
        <v>-2</v>
      </c>
      <c r="O66" s="13" t="str">
        <v>+2</v>
      </c>
      <c r="P66" s="12" t="str">
        <v>0</v>
      </c>
      <c r="Q66" s="1" t="str">
        <v>-1</v>
      </c>
      <c r="R66" s="1" t="str">
        <v>-2</v>
      </c>
      <c r="S66" s="13" t="str">
        <v>+2</v>
      </c>
      <c r="T66" s="11" t="s">
        <v>762</v>
      </c>
      <c r="U66" s="2" t="s">
        <v>763</v>
      </c>
      <c r="V66" s="2" t="s">
        <v>764</v>
      </c>
      <c r="W66" s="2" t="s">
        <v>765</v>
      </c>
      <c r="X66" t="str">
        <f t="shared" si="0"/>
        <v xml:space="preserve">// Row: Sd_n[5:0] = 111110
				{3'sd+1,  -3'sd1,  -3'sd1,  3'sd+2} : sdn_recovered = {3'b001, 6'b111110}; // Col [001]
				{3'sd0,  -3'sd2,  -3'sd1,  3'sd+2} : sdn_recovered = {3'b011, 6'b111110}; // Col [011]
				{3'sd+1,  -3'sd2,  -3'sd2,  3'sd+2} : sdn_recovered = {3'b101, 6'b111110}; // Col [101]
				{3'sd0,  -3'sd1,  -3'sd2,  3'sd+2} : sdn_recovered = {3'b111, 6'b111110}; // Col [111]
</v>
      </c>
      <c r="Y66" s="25"/>
    </row>
    <row r="67" spans="1:25" x14ac:dyDescent="0.25">
      <c r="A67" s="1" t="s">
        <v>164</v>
      </c>
      <c r="B67" s="1" t="str" cm="1">
        <f t="array" ref="B67:S67">_xlfn.TEXTSPLIT(TRIM(A67), {" ",",",", "})</f>
        <v>Normal</v>
      </c>
      <c r="C67" s="10" t="str">
        <v>111111</v>
      </c>
      <c r="D67" s="12" t="str">
        <v>-1</v>
      </c>
      <c r="E67" s="1" t="str">
        <v>-1</v>
      </c>
      <c r="F67" s="1" t="str">
        <v>-1</v>
      </c>
      <c r="G67" s="13" t="str">
        <v>+2</v>
      </c>
      <c r="H67" s="12" t="str">
        <v>-2</v>
      </c>
      <c r="I67" s="1" t="str">
        <v>-2</v>
      </c>
      <c r="J67" s="1" t="str">
        <v>-1</v>
      </c>
      <c r="K67" s="13" t="str">
        <v>+2</v>
      </c>
      <c r="L67" s="12" t="str">
        <v>-1</v>
      </c>
      <c r="M67" s="1" t="str">
        <v>-2</v>
      </c>
      <c r="N67" s="1" t="str">
        <v>-2</v>
      </c>
      <c r="O67" s="13" t="str">
        <v>+2</v>
      </c>
      <c r="P67" s="12" t="str">
        <v>-2</v>
      </c>
      <c r="Q67" s="1" t="str">
        <v>-1</v>
      </c>
      <c r="R67" s="1" t="str">
        <v>-2</v>
      </c>
      <c r="S67" s="13" t="str">
        <v>+2</v>
      </c>
      <c r="T67" s="11" t="s">
        <v>766</v>
      </c>
      <c r="U67" s="2" t="s">
        <v>767</v>
      </c>
      <c r="V67" s="2" t="s">
        <v>768</v>
      </c>
      <c r="W67" s="2" t="s">
        <v>769</v>
      </c>
      <c r="X67" t="str">
        <f t="shared" si="0"/>
        <v xml:space="preserve">// Row: Sd_n[5:0] = 111111
				{-3'sd1,  -3'sd1,  -3'sd1,  3'sd+2} : sdn_recovered = {3'b001, 6'b111111}; // Col [001]
				{-3'sd2,  -3'sd2,  -3'sd1,  3'sd+2} : sdn_recovered = {3'b011, 6'b111111}; // Col [011]
				{-3'sd1,  -3'sd2,  -3'sd2,  3'sd+2} : sdn_recovered = {3'b101, 6'b111111}; // Col [101]
				{-3'sd2,  -3'sd1,  -3'sd2,  3'sd+2} : sdn_recovered = {3'b111, 6'b111111}; // Col [111]
</v>
      </c>
      <c r="Y67" s="25"/>
    </row>
    <row r="68" spans="1:25" x14ac:dyDescent="0.25">
      <c r="A68" s="1" t="s">
        <v>165</v>
      </c>
      <c r="B68" s="1" t="str" cm="1">
        <f t="array" ref="B68:S68">_xlfn.TEXTSPLIT(TRIM(A68), {" ",",",", "})</f>
        <v>xmt_err</v>
      </c>
      <c r="C68" s="10" t="str">
        <v>XXXXXX</v>
      </c>
      <c r="D68" s="12" t="str">
        <v>+2</v>
      </c>
      <c r="E68" s="1" t="str">
        <v>+2</v>
      </c>
      <c r="F68" s="1" t="str">
        <v>0</v>
      </c>
      <c r="G68" s="13" t="str">
        <v>+1</v>
      </c>
      <c r="H68" s="12" t="str">
        <v>0</v>
      </c>
      <c r="I68" s="1" t="str">
        <v>+2</v>
      </c>
      <c r="J68" s="1" t="str">
        <v>+1</v>
      </c>
      <c r="K68" s="13" t="str">
        <v>+2</v>
      </c>
      <c r="L68" s="12" t="str">
        <v>+1</v>
      </c>
      <c r="M68" s="1" t="str">
        <v>+2</v>
      </c>
      <c r="N68" s="1" t="str">
        <v>+2</v>
      </c>
      <c r="O68" s="13" t="str">
        <v>0</v>
      </c>
      <c r="P68" s="12" t="str">
        <v>+2</v>
      </c>
      <c r="Q68" s="1" t="str">
        <v>+1</v>
      </c>
      <c r="R68" s="1" t="str">
        <v>+2</v>
      </c>
      <c r="S68" s="13" t="str">
        <v>0</v>
      </c>
      <c r="T68" s="11"/>
      <c r="U68" s="2"/>
      <c r="V68" s="2"/>
      <c r="W68" s="2"/>
      <c r="X68" t="str">
        <f t="shared" si="0"/>
        <v xml:space="preserve">// Row: Sd_n[5:0] = XXXXXX
</v>
      </c>
      <c r="Y68" s="25"/>
    </row>
    <row r="69" spans="1:25" x14ac:dyDescent="0.25">
      <c r="A69" s="1" t="s">
        <v>166</v>
      </c>
      <c r="B69" s="1" t="str" cm="1">
        <f t="array" ref="B69:S69">_xlfn.TEXTSPLIT(TRIM(A69), {" ",",",", "})</f>
        <v>CSExtend_Err</v>
      </c>
      <c r="C69" s="10" t="str">
        <v>XXXXXX</v>
      </c>
      <c r="D69" s="12" t="str">
        <v>+2</v>
      </c>
      <c r="E69" s="1" t="str">
        <v>+2</v>
      </c>
      <c r="F69" s="1" t="str">
        <v>-2</v>
      </c>
      <c r="G69" s="13" t="str">
        <v>-1</v>
      </c>
      <c r="H69" s="12" t="str">
        <v>-2</v>
      </c>
      <c r="I69" s="1" t="str">
        <v>+2</v>
      </c>
      <c r="J69" s="1" t="str">
        <v>-1</v>
      </c>
      <c r="K69" s="13" t="str">
        <v>+2</v>
      </c>
      <c r="L69" s="12" t="str">
        <v>-1</v>
      </c>
      <c r="M69" s="1" t="str">
        <v>+2</v>
      </c>
      <c r="N69" s="1" t="str">
        <v>+2</v>
      </c>
      <c r="O69" s="13" t="str">
        <v>-2</v>
      </c>
      <c r="P69" s="12" t="str">
        <v>+2</v>
      </c>
      <c r="Q69" s="1" t="str">
        <v>-1</v>
      </c>
      <c r="R69" s="1" t="str">
        <v>+2</v>
      </c>
      <c r="S69" s="13" t="str">
        <v>-2</v>
      </c>
      <c r="T69" s="11"/>
      <c r="U69" s="2"/>
      <c r="V69" s="2"/>
      <c r="W69" s="2"/>
      <c r="X69" t="str">
        <f t="shared" ref="X69:X71" si="1">"// Row: Sd_n[5:0] = " &amp; $C69 &amp; CHAR(10) &amp;
REPT(CHAR(9),4) &amp; SUBSTITUTE(T69,"3'sd-","-3'sd") &amp; CHAR(10) &amp;
REPT(CHAR(9),4) &amp; SUBSTITUTE(U69,"3'sd-","-3'sd") &amp; CHAR(10) &amp;
REPT(CHAR(9),4) &amp; SUBSTITUTE(V69,"3'sd-","-3'sd") &amp; CHAR(10) &amp;
REPT(CHAR(9),4) &amp; SUBSTITUTE(W69,"3'sd-","-3'sd") &amp; CHAR(10)</f>
        <v xml:space="preserve">// Row: Sd_n[5:0] = XXXXXX
</v>
      </c>
      <c r="Y69" s="25"/>
    </row>
    <row r="70" spans="1:25" x14ac:dyDescent="0.25">
      <c r="A70" s="1" t="s">
        <v>167</v>
      </c>
      <c r="B70" s="1" t="str" cm="1">
        <f t="array" ref="B70:S70">_xlfn.TEXTSPLIT(TRIM(A70), {" ",",",", "})</f>
        <v>CSExtend</v>
      </c>
      <c r="C70" s="10" t="str">
        <v>XXXXXX</v>
      </c>
      <c r="D70" s="12" t="str">
        <v>+2</v>
      </c>
      <c r="E70" s="1" t="str">
        <v>0</v>
      </c>
      <c r="F70" s="1" t="str">
        <v>+2</v>
      </c>
      <c r="G70" s="13" t="str">
        <v>+1</v>
      </c>
      <c r="H70" s="12" t="str">
        <v>+2</v>
      </c>
      <c r="I70" s="1" t="str">
        <v>0</v>
      </c>
      <c r="J70" s="1" t="str">
        <v>+1</v>
      </c>
      <c r="K70" s="13" t="str">
        <v>+2</v>
      </c>
      <c r="L70" s="12" t="str">
        <v>+1</v>
      </c>
      <c r="M70" s="1" t="str">
        <v>0</v>
      </c>
      <c r="N70" s="1" t="str">
        <v>+2</v>
      </c>
      <c r="O70" s="13" t="str">
        <v>+2</v>
      </c>
      <c r="P70" s="12" t="str">
        <v>+2</v>
      </c>
      <c r="Q70" s="1" t="str">
        <v>+1</v>
      </c>
      <c r="R70" s="1" t="str">
        <v>0</v>
      </c>
      <c r="S70" s="13" t="str">
        <v>+2</v>
      </c>
      <c r="T70" s="11"/>
      <c r="U70" s="2"/>
      <c r="V70" s="2"/>
      <c r="W70" s="2"/>
      <c r="X70" t="str">
        <f t="shared" si="1"/>
        <v xml:space="preserve">// Row: Sd_n[5:0] = XXXXXX
</v>
      </c>
      <c r="Y70" s="25"/>
    </row>
    <row r="71" spans="1:25" ht="15.75" thickBot="1" x14ac:dyDescent="0.3">
      <c r="A71" s="1" t="s">
        <v>168</v>
      </c>
      <c r="B71" s="1" t="str" cm="1">
        <f t="array" ref="B71:S71">_xlfn.TEXTSPLIT(TRIM(A71), {" ",",",", "})</f>
        <v>CSReset</v>
      </c>
      <c r="C71" s="10" t="str">
        <v>XXXXXX</v>
      </c>
      <c r="D71" s="14" t="str">
        <v>+2</v>
      </c>
      <c r="E71" s="15" t="str">
        <v>-2</v>
      </c>
      <c r="F71" s="15" t="str">
        <v>+2</v>
      </c>
      <c r="G71" s="16" t="str">
        <v>-1</v>
      </c>
      <c r="H71" s="14" t="str">
        <v>+2</v>
      </c>
      <c r="I71" s="15" t="str">
        <v>-2</v>
      </c>
      <c r="J71" s="15" t="str">
        <v>-1</v>
      </c>
      <c r="K71" s="16" t="str">
        <v>+2</v>
      </c>
      <c r="L71" s="14" t="str">
        <v>-1</v>
      </c>
      <c r="M71" s="15" t="str">
        <v>-2</v>
      </c>
      <c r="N71" s="15" t="str">
        <v>+2</v>
      </c>
      <c r="O71" s="16" t="str">
        <v>+2</v>
      </c>
      <c r="P71" s="14" t="str">
        <v>+2</v>
      </c>
      <c r="Q71" s="15" t="str">
        <v>-1</v>
      </c>
      <c r="R71" s="15" t="str">
        <v>-2</v>
      </c>
      <c r="S71" s="16" t="str">
        <v>+2</v>
      </c>
      <c r="T71" s="11"/>
      <c r="U71" s="2"/>
      <c r="V71" s="2"/>
      <c r="W71" s="2"/>
      <c r="X71" t="str">
        <f t="shared" si="1"/>
        <v xml:space="preserve">// Row: Sd_n[5:0] = XXXXXX
</v>
      </c>
      <c r="Y71" s="25"/>
    </row>
  </sheetData>
  <mergeCells count="7">
    <mergeCell ref="A1:W1"/>
    <mergeCell ref="D2:S2"/>
    <mergeCell ref="D3:G3"/>
    <mergeCell ref="H3:K3"/>
    <mergeCell ref="L3:O3"/>
    <mergeCell ref="P3:S3"/>
    <mergeCell ref="T3:W3"/>
  </mergeCells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3177A5-4CCC-4370-8F93-FC900B582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40-1 TX</vt:lpstr>
      <vt:lpstr>Table 40-2 TX</vt:lpstr>
      <vt:lpstr>Bit Reverse</vt:lpstr>
      <vt:lpstr>Table 40-1 RX Raw</vt:lpstr>
      <vt:lpstr>Table 40-1 RX </vt:lpstr>
      <vt:lpstr>Table 40-2 RX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Yasirul Choudhury</dc:creator>
  <cp:lastModifiedBy>Yasirul Choudhury</cp:lastModifiedBy>
  <dcterms:created xsi:type="dcterms:W3CDTF">2026-04-05T16:08:54Z</dcterms:created>
  <dcterms:modified xsi:type="dcterms:W3CDTF">2026-04-07T07:34:20Z</dcterms:modified>
</cp:coreProperties>
</file>