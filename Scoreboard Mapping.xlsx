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pring 2026\273\Project\"/>
    </mc:Choice>
  </mc:AlternateContent>
  <xr:revisionPtr revIDLastSave="0" documentId="13_ncr:1_{21E60281-406C-466C-B692-1CFA4BDD78E9}" xr6:coauthVersionLast="47" xr6:coauthVersionMax="47" xr10:uidLastSave="{00000000-0000-0000-0000-000000000000}"/>
  <bookViews>
    <workbookView xWindow="-120" yWindow="-120" windowWidth="29040" windowHeight="15840" activeTab="1" xr2:uid="{064FDCCC-8C9F-462C-957F-5401960508C5}"/>
  </bookViews>
  <sheets>
    <sheet name="Table 40-1" sheetId="1" r:id="rId1"/>
    <sheet name="Table 40-2" sheetId="3" r:id="rId2"/>
    <sheet name="Mapp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71" i="3" l="1" a="1"/>
  <c r="W71" i="3" s="1"/>
  <c r="V71" i="3" a="1"/>
  <c r="V71" i="3" s="1"/>
  <c r="U71" i="3" a="1"/>
  <c r="U71" i="3"/>
  <c r="T71" i="3" a="1"/>
  <c r="T71" i="3" s="1"/>
  <c r="W71" i="1" a="1"/>
  <c r="W71" i="1" s="1"/>
  <c r="V71" i="1" a="1"/>
  <c r="V71" i="1" s="1"/>
  <c r="U71" i="1" a="1"/>
  <c r="U71" i="1" s="1"/>
  <c r="T71" i="1" a="1"/>
  <c r="T71" i="1" s="1"/>
  <c r="T80" i="1" a="1"/>
  <c r="T80" i="1"/>
  <c r="T81" i="1" a="1"/>
  <c r="T81" i="1" s="1"/>
  <c r="T82" i="1" a="1"/>
  <c r="T82" i="1" s="1"/>
  <c r="T83" i="1" a="1"/>
  <c r="T83" i="1"/>
  <c r="T84" i="1" a="1"/>
  <c r="T84" i="1" s="1"/>
  <c r="T85" i="1" a="1"/>
  <c r="T85" i="1"/>
  <c r="T86" i="1" a="1"/>
  <c r="T86" i="1"/>
  <c r="T87" i="1" a="1"/>
  <c r="T87" i="1" s="1"/>
  <c r="T88" i="1" a="1"/>
  <c r="T88" i="1" s="1"/>
  <c r="T89" i="1" a="1"/>
  <c r="T89" i="1" s="1"/>
  <c r="T90" i="1" a="1"/>
  <c r="T90" i="1" s="1"/>
  <c r="T91" i="1" a="1"/>
  <c r="T91" i="1" s="1"/>
  <c r="T92" i="1" a="1"/>
  <c r="T92" i="1" s="1"/>
  <c r="T93" i="1" a="1"/>
  <c r="T93" i="1" s="1"/>
  <c r="T94" i="1" a="1"/>
  <c r="T94" i="1" s="1"/>
  <c r="T79" i="1" a="1"/>
  <c r="T79" i="1" s="1"/>
  <c r="T5" i="3" a="1"/>
  <c r="T5" i="3" s="1"/>
  <c r="U5" i="3" a="1"/>
  <c r="U5" i="3" s="1"/>
  <c r="V5" i="3" a="1"/>
  <c r="V5" i="3" s="1"/>
  <c r="W5" i="3" a="1"/>
  <c r="W5" i="3" s="1"/>
  <c r="T6" i="3" a="1"/>
  <c r="T6" i="3"/>
  <c r="U6" i="3" a="1"/>
  <c r="U6" i="3"/>
  <c r="V6" i="3" a="1"/>
  <c r="V6" i="3" s="1"/>
  <c r="W6" i="3" a="1"/>
  <c r="W6" i="3" s="1"/>
  <c r="T7" i="3" a="1"/>
  <c r="T7" i="3" s="1"/>
  <c r="U7" i="3" a="1"/>
  <c r="U7" i="3" s="1"/>
  <c r="V7" i="3" a="1"/>
  <c r="V7" i="3"/>
  <c r="W7" i="3" a="1"/>
  <c r="W7" i="3"/>
  <c r="T8" i="3" a="1"/>
  <c r="T8" i="3" s="1"/>
  <c r="U8" i="3" a="1"/>
  <c r="U8" i="3" s="1"/>
  <c r="V8" i="3" a="1"/>
  <c r="V8" i="3" s="1"/>
  <c r="W8" i="3" a="1"/>
  <c r="W8" i="3" s="1"/>
  <c r="T9" i="3" a="1"/>
  <c r="T9" i="3"/>
  <c r="U9" i="3" a="1"/>
  <c r="U9" i="3"/>
  <c r="V9" i="3" a="1"/>
  <c r="V9" i="3" s="1"/>
  <c r="W9" i="3" a="1"/>
  <c r="W9" i="3" s="1"/>
  <c r="T10" i="3" a="1"/>
  <c r="T10" i="3" s="1"/>
  <c r="U10" i="3" a="1"/>
  <c r="U10" i="3" s="1"/>
  <c r="V10" i="3" a="1"/>
  <c r="V10" i="3"/>
  <c r="W10" i="3" a="1"/>
  <c r="W10" i="3"/>
  <c r="T11" i="3" a="1"/>
  <c r="T11" i="3" s="1"/>
  <c r="U11" i="3" a="1"/>
  <c r="U11" i="3" s="1"/>
  <c r="V11" i="3" a="1"/>
  <c r="V11" i="3" s="1"/>
  <c r="W11" i="3" a="1"/>
  <c r="W11" i="3" s="1"/>
  <c r="T12" i="3" a="1"/>
  <c r="T12" i="3"/>
  <c r="U12" i="3" a="1"/>
  <c r="U12" i="3"/>
  <c r="V12" i="3" a="1"/>
  <c r="V12" i="3" s="1"/>
  <c r="W12" i="3" a="1"/>
  <c r="W12" i="3" s="1"/>
  <c r="T13" i="3" a="1"/>
  <c r="T13" i="3" s="1"/>
  <c r="U13" i="3" a="1"/>
  <c r="U13" i="3" s="1"/>
  <c r="V13" i="3" a="1"/>
  <c r="V13" i="3"/>
  <c r="W13" i="3" a="1"/>
  <c r="W13" i="3"/>
  <c r="T14" i="3" a="1"/>
  <c r="T14" i="3" s="1"/>
  <c r="U14" i="3" a="1"/>
  <c r="U14" i="3" s="1"/>
  <c r="V14" i="3" a="1"/>
  <c r="V14" i="3" s="1"/>
  <c r="W14" i="3" a="1"/>
  <c r="W14" i="3" s="1"/>
  <c r="T15" i="3" a="1"/>
  <c r="T15" i="3"/>
  <c r="U15" i="3" a="1"/>
  <c r="U15" i="3"/>
  <c r="V15" i="3" a="1"/>
  <c r="V15" i="3" s="1"/>
  <c r="W15" i="3" a="1"/>
  <c r="W15" i="3" s="1"/>
  <c r="T16" i="3" a="1"/>
  <c r="T16" i="3" s="1"/>
  <c r="U16" i="3" a="1"/>
  <c r="U16" i="3" s="1"/>
  <c r="V16" i="3" a="1"/>
  <c r="V16" i="3"/>
  <c r="W16" i="3" a="1"/>
  <c r="W16" i="3"/>
  <c r="T17" i="3" a="1"/>
  <c r="T17" i="3" s="1"/>
  <c r="U17" i="3" a="1"/>
  <c r="U17" i="3" s="1"/>
  <c r="V17" i="3" a="1"/>
  <c r="V17" i="3" s="1"/>
  <c r="W17" i="3" a="1"/>
  <c r="W17" i="3" s="1"/>
  <c r="T18" i="3" a="1"/>
  <c r="T18" i="3"/>
  <c r="U18" i="3" a="1"/>
  <c r="U18" i="3"/>
  <c r="V18" i="3" a="1"/>
  <c r="V18" i="3" s="1"/>
  <c r="W18" i="3" a="1"/>
  <c r="W18" i="3" s="1"/>
  <c r="T19" i="3" a="1"/>
  <c r="T19" i="3" s="1"/>
  <c r="U19" i="3" a="1"/>
  <c r="U19" i="3" s="1"/>
  <c r="V19" i="3" a="1"/>
  <c r="V19" i="3"/>
  <c r="W19" i="3" a="1"/>
  <c r="W19" i="3"/>
  <c r="T20" i="3" a="1"/>
  <c r="T20" i="3" s="1"/>
  <c r="U20" i="3" a="1"/>
  <c r="U20" i="3" s="1"/>
  <c r="V20" i="3" a="1"/>
  <c r="V20" i="3" s="1"/>
  <c r="W20" i="3" a="1"/>
  <c r="W20" i="3" s="1"/>
  <c r="T21" i="3" a="1"/>
  <c r="T21" i="3"/>
  <c r="U21" i="3" a="1"/>
  <c r="U21" i="3"/>
  <c r="V21" i="3" a="1"/>
  <c r="V21" i="3" s="1"/>
  <c r="W21" i="3" a="1"/>
  <c r="W21" i="3" s="1"/>
  <c r="T22" i="3" a="1"/>
  <c r="T22" i="3" s="1"/>
  <c r="U22" i="3" a="1"/>
  <c r="U22" i="3" s="1"/>
  <c r="V22" i="3" a="1"/>
  <c r="V22" i="3"/>
  <c r="W22" i="3" a="1"/>
  <c r="W22" i="3"/>
  <c r="T23" i="3" a="1"/>
  <c r="T23" i="3" s="1"/>
  <c r="U23" i="3" a="1"/>
  <c r="U23" i="3" s="1"/>
  <c r="V23" i="3" a="1"/>
  <c r="V23" i="3" s="1"/>
  <c r="W23" i="3" a="1"/>
  <c r="W23" i="3" s="1"/>
  <c r="T24" i="3" a="1"/>
  <c r="T24" i="3"/>
  <c r="U24" i="3" a="1"/>
  <c r="U24" i="3"/>
  <c r="V24" i="3" a="1"/>
  <c r="V24" i="3" s="1"/>
  <c r="W24" i="3" a="1"/>
  <c r="W24" i="3" s="1"/>
  <c r="T25" i="3" a="1"/>
  <c r="T25" i="3" s="1"/>
  <c r="U25" i="3" a="1"/>
  <c r="U25" i="3" s="1"/>
  <c r="V25" i="3" a="1"/>
  <c r="V25" i="3"/>
  <c r="W25" i="3" a="1"/>
  <c r="W25" i="3"/>
  <c r="T26" i="3" a="1"/>
  <c r="T26" i="3" s="1"/>
  <c r="U26" i="3" a="1"/>
  <c r="U26" i="3" s="1"/>
  <c r="V26" i="3" a="1"/>
  <c r="V26" i="3" s="1"/>
  <c r="W26" i="3" a="1"/>
  <c r="W26" i="3" s="1"/>
  <c r="T27" i="3" a="1"/>
  <c r="T27" i="3"/>
  <c r="U27" i="3" a="1"/>
  <c r="U27" i="3"/>
  <c r="V27" i="3" a="1"/>
  <c r="V27" i="3" s="1"/>
  <c r="W27" i="3" a="1"/>
  <c r="W27" i="3" s="1"/>
  <c r="T28" i="3" a="1"/>
  <c r="T28" i="3" s="1"/>
  <c r="U28" i="3" a="1"/>
  <c r="U28" i="3" s="1"/>
  <c r="V28" i="3" a="1"/>
  <c r="V28" i="3"/>
  <c r="W28" i="3" a="1"/>
  <c r="W28" i="3"/>
  <c r="T29" i="3" a="1"/>
  <c r="T29" i="3" s="1"/>
  <c r="U29" i="3" a="1"/>
  <c r="U29" i="3" s="1"/>
  <c r="V29" i="3" a="1"/>
  <c r="V29" i="3" s="1"/>
  <c r="W29" i="3" a="1"/>
  <c r="W29" i="3" s="1"/>
  <c r="T30" i="3" a="1"/>
  <c r="T30" i="3"/>
  <c r="U30" i="3" a="1"/>
  <c r="U30" i="3"/>
  <c r="V30" i="3" a="1"/>
  <c r="V30" i="3" s="1"/>
  <c r="W30" i="3" a="1"/>
  <c r="W30" i="3" s="1"/>
  <c r="T31" i="3" a="1"/>
  <c r="T31" i="3" s="1"/>
  <c r="U31" i="3" a="1"/>
  <c r="U31" i="3" s="1"/>
  <c r="V31" i="3" a="1"/>
  <c r="V31" i="3"/>
  <c r="W31" i="3" a="1"/>
  <c r="W31" i="3"/>
  <c r="T32" i="3" a="1"/>
  <c r="T32" i="3" s="1"/>
  <c r="U32" i="3" a="1"/>
  <c r="U32" i="3" s="1"/>
  <c r="V32" i="3" a="1"/>
  <c r="V32" i="3" s="1"/>
  <c r="W32" i="3" a="1"/>
  <c r="W32" i="3" s="1"/>
  <c r="T33" i="3" a="1"/>
  <c r="T33" i="3"/>
  <c r="U33" i="3" a="1"/>
  <c r="U33" i="3"/>
  <c r="V33" i="3" a="1"/>
  <c r="V33" i="3" s="1"/>
  <c r="W33" i="3" a="1"/>
  <c r="W33" i="3" s="1"/>
  <c r="T34" i="3" a="1"/>
  <c r="T34" i="3" s="1"/>
  <c r="U34" i="3" a="1"/>
  <c r="U34" i="3" s="1"/>
  <c r="V34" i="3" a="1"/>
  <c r="V34" i="3"/>
  <c r="W34" i="3" a="1"/>
  <c r="W34" i="3"/>
  <c r="T35" i="3" a="1"/>
  <c r="T35" i="3" s="1"/>
  <c r="U35" i="3" a="1"/>
  <c r="U35" i="3" s="1"/>
  <c r="V35" i="3" a="1"/>
  <c r="V35" i="3" s="1"/>
  <c r="W35" i="3" a="1"/>
  <c r="W35" i="3" s="1"/>
  <c r="T36" i="3" a="1"/>
  <c r="T36" i="3"/>
  <c r="U36" i="3" a="1"/>
  <c r="U36" i="3"/>
  <c r="V36" i="3" a="1"/>
  <c r="V36" i="3" s="1"/>
  <c r="W36" i="3" a="1"/>
  <c r="W36" i="3" s="1"/>
  <c r="T37" i="3" a="1"/>
  <c r="T37" i="3" s="1"/>
  <c r="U37" i="3" a="1"/>
  <c r="U37" i="3" s="1"/>
  <c r="V37" i="3" a="1"/>
  <c r="V37" i="3"/>
  <c r="W37" i="3" a="1"/>
  <c r="W37" i="3"/>
  <c r="T38" i="3" a="1"/>
  <c r="T38" i="3" s="1"/>
  <c r="U38" i="3" a="1"/>
  <c r="U38" i="3" s="1"/>
  <c r="V38" i="3" a="1"/>
  <c r="V38" i="3" s="1"/>
  <c r="W38" i="3" a="1"/>
  <c r="W38" i="3" s="1"/>
  <c r="T39" i="3" a="1"/>
  <c r="T39" i="3"/>
  <c r="U39" i="3" a="1"/>
  <c r="U39" i="3"/>
  <c r="V39" i="3" a="1"/>
  <c r="V39" i="3" s="1"/>
  <c r="W39" i="3" a="1"/>
  <c r="W39" i="3" s="1"/>
  <c r="T40" i="3" a="1"/>
  <c r="T40" i="3" s="1"/>
  <c r="U40" i="3" a="1"/>
  <c r="U40" i="3" s="1"/>
  <c r="V40" i="3" a="1"/>
  <c r="V40" i="3"/>
  <c r="W40" i="3" a="1"/>
  <c r="W40" i="3"/>
  <c r="T41" i="3" a="1"/>
  <c r="T41" i="3" s="1"/>
  <c r="U41" i="3" a="1"/>
  <c r="U41" i="3" s="1"/>
  <c r="V41" i="3" a="1"/>
  <c r="V41" i="3" s="1"/>
  <c r="W41" i="3" a="1"/>
  <c r="W41" i="3" s="1"/>
  <c r="T42" i="3" a="1"/>
  <c r="T42" i="3"/>
  <c r="U42" i="3" a="1"/>
  <c r="U42" i="3"/>
  <c r="V42" i="3" a="1"/>
  <c r="V42" i="3" s="1"/>
  <c r="W42" i="3" a="1"/>
  <c r="W42" i="3" s="1"/>
  <c r="T43" i="3" a="1"/>
  <c r="T43" i="3" s="1"/>
  <c r="U43" i="3" a="1"/>
  <c r="U43" i="3" s="1"/>
  <c r="V43" i="3" a="1"/>
  <c r="V43" i="3"/>
  <c r="W43" i="3" a="1"/>
  <c r="W43" i="3"/>
  <c r="T44" i="3" a="1"/>
  <c r="T44" i="3" s="1"/>
  <c r="U44" i="3" a="1"/>
  <c r="U44" i="3" s="1"/>
  <c r="V44" i="3" a="1"/>
  <c r="V44" i="3" s="1"/>
  <c r="W44" i="3" a="1"/>
  <c r="W44" i="3" s="1"/>
  <c r="T45" i="3" a="1"/>
  <c r="T45" i="3"/>
  <c r="U45" i="3" a="1"/>
  <c r="U45" i="3"/>
  <c r="V45" i="3" a="1"/>
  <c r="V45" i="3" s="1"/>
  <c r="W45" i="3" a="1"/>
  <c r="W45" i="3" s="1"/>
  <c r="T46" i="3" a="1"/>
  <c r="T46" i="3" s="1"/>
  <c r="U46" i="3" a="1"/>
  <c r="U46" i="3" s="1"/>
  <c r="V46" i="3" a="1"/>
  <c r="V46" i="3"/>
  <c r="W46" i="3" a="1"/>
  <c r="W46" i="3"/>
  <c r="T47" i="3" a="1"/>
  <c r="T47" i="3" s="1"/>
  <c r="U47" i="3" a="1"/>
  <c r="U47" i="3" s="1"/>
  <c r="V47" i="3" a="1"/>
  <c r="V47" i="3" s="1"/>
  <c r="W47" i="3" a="1"/>
  <c r="W47" i="3" s="1"/>
  <c r="T48" i="3" a="1"/>
  <c r="T48" i="3"/>
  <c r="U48" i="3" a="1"/>
  <c r="U48" i="3"/>
  <c r="V48" i="3" a="1"/>
  <c r="V48" i="3" s="1"/>
  <c r="W48" i="3" a="1"/>
  <c r="W48" i="3" s="1"/>
  <c r="T49" i="3" a="1"/>
  <c r="T49" i="3" s="1"/>
  <c r="U49" i="3" a="1"/>
  <c r="U49" i="3" s="1"/>
  <c r="V49" i="3" a="1"/>
  <c r="V49" i="3"/>
  <c r="W49" i="3" a="1"/>
  <c r="W49" i="3"/>
  <c r="T50" i="3" a="1"/>
  <c r="T50" i="3" s="1"/>
  <c r="U50" i="3" a="1"/>
  <c r="U50" i="3" s="1"/>
  <c r="V50" i="3" a="1"/>
  <c r="V50" i="3" s="1"/>
  <c r="W50" i="3" a="1"/>
  <c r="W50" i="3" s="1"/>
  <c r="T51" i="3" a="1"/>
  <c r="T51" i="3"/>
  <c r="U51" i="3" a="1"/>
  <c r="U51" i="3"/>
  <c r="V51" i="3" a="1"/>
  <c r="V51" i="3" s="1"/>
  <c r="W51" i="3" a="1"/>
  <c r="W51" i="3" s="1"/>
  <c r="T52" i="3" a="1"/>
  <c r="T52" i="3" s="1"/>
  <c r="U52" i="3" a="1"/>
  <c r="U52" i="3" s="1"/>
  <c r="V52" i="3" a="1"/>
  <c r="V52" i="3"/>
  <c r="W52" i="3" a="1"/>
  <c r="W52" i="3"/>
  <c r="T53" i="3" a="1"/>
  <c r="T53" i="3" s="1"/>
  <c r="U53" i="3" a="1"/>
  <c r="U53" i="3" s="1"/>
  <c r="V53" i="3" a="1"/>
  <c r="V53" i="3" s="1"/>
  <c r="W53" i="3" a="1"/>
  <c r="W53" i="3" s="1"/>
  <c r="T54" i="3" a="1"/>
  <c r="T54" i="3"/>
  <c r="U54" i="3" a="1"/>
  <c r="U54" i="3"/>
  <c r="V54" i="3" a="1"/>
  <c r="V54" i="3" s="1"/>
  <c r="W54" i="3" a="1"/>
  <c r="W54" i="3" s="1"/>
  <c r="T55" i="3" a="1"/>
  <c r="T55" i="3" s="1"/>
  <c r="U55" i="3" a="1"/>
  <c r="U55" i="3" s="1"/>
  <c r="V55" i="3" a="1"/>
  <c r="V55" i="3"/>
  <c r="W55" i="3" a="1"/>
  <c r="W55" i="3"/>
  <c r="T56" i="3" a="1"/>
  <c r="T56" i="3" s="1"/>
  <c r="U56" i="3" a="1"/>
  <c r="U56" i="3" s="1"/>
  <c r="V56" i="3" a="1"/>
  <c r="V56" i="3" s="1"/>
  <c r="W56" i="3" a="1"/>
  <c r="W56" i="3" s="1"/>
  <c r="T57" i="3" a="1"/>
  <c r="T57" i="3"/>
  <c r="U57" i="3" a="1"/>
  <c r="U57" i="3"/>
  <c r="V57" i="3" a="1"/>
  <c r="V57" i="3" s="1"/>
  <c r="W57" i="3" a="1"/>
  <c r="W57" i="3" s="1"/>
  <c r="T58" i="3" a="1"/>
  <c r="T58" i="3" s="1"/>
  <c r="U58" i="3" a="1"/>
  <c r="U58" i="3" s="1"/>
  <c r="V58" i="3" a="1"/>
  <c r="V58" i="3"/>
  <c r="W58" i="3" a="1"/>
  <c r="W58" i="3"/>
  <c r="T59" i="3" a="1"/>
  <c r="T59" i="3" s="1"/>
  <c r="U59" i="3" a="1"/>
  <c r="U59" i="3" s="1"/>
  <c r="V59" i="3" a="1"/>
  <c r="V59" i="3" s="1"/>
  <c r="W59" i="3" a="1"/>
  <c r="W59" i="3" s="1"/>
  <c r="T60" i="3" a="1"/>
  <c r="T60" i="3"/>
  <c r="U60" i="3" a="1"/>
  <c r="U60" i="3"/>
  <c r="V60" i="3" a="1"/>
  <c r="V60" i="3" s="1"/>
  <c r="W60" i="3" a="1"/>
  <c r="W60" i="3" s="1"/>
  <c r="T61" i="3" a="1"/>
  <c r="T61" i="3" s="1"/>
  <c r="U61" i="3" a="1"/>
  <c r="U61" i="3" s="1"/>
  <c r="V61" i="3" a="1"/>
  <c r="V61" i="3"/>
  <c r="W61" i="3" a="1"/>
  <c r="W61" i="3"/>
  <c r="T62" i="3" a="1"/>
  <c r="T62" i="3" s="1"/>
  <c r="U62" i="3" a="1"/>
  <c r="U62" i="3" s="1"/>
  <c r="V62" i="3" a="1"/>
  <c r="V62" i="3" s="1"/>
  <c r="W62" i="3" a="1"/>
  <c r="W62" i="3" s="1"/>
  <c r="T63" i="3" a="1"/>
  <c r="T63" i="3" s="1"/>
  <c r="U63" i="3" a="1"/>
  <c r="U63" i="3"/>
  <c r="V63" i="3" a="1"/>
  <c r="V63" i="3" s="1"/>
  <c r="W63" i="3" a="1"/>
  <c r="W63" i="3" s="1"/>
  <c r="T64" i="3" a="1"/>
  <c r="T64" i="3" s="1"/>
  <c r="U64" i="3" a="1"/>
  <c r="U64" i="3" s="1"/>
  <c r="V64" i="3" a="1"/>
  <c r="V64" i="3"/>
  <c r="W64" i="3" a="1"/>
  <c r="W64" i="3" s="1"/>
  <c r="T65" i="3" a="1"/>
  <c r="T65" i="3" s="1"/>
  <c r="U65" i="3" a="1"/>
  <c r="U65" i="3" s="1"/>
  <c r="V65" i="3" a="1"/>
  <c r="V65" i="3" s="1"/>
  <c r="W65" i="3" a="1"/>
  <c r="W65" i="3" s="1"/>
  <c r="T66" i="3" a="1"/>
  <c r="T66" i="3" s="1"/>
  <c r="U66" i="3" a="1"/>
  <c r="U66" i="3" s="1"/>
  <c r="V66" i="3" a="1"/>
  <c r="V66" i="3" s="1"/>
  <c r="W66" i="3" a="1"/>
  <c r="W66" i="3" s="1"/>
  <c r="T67" i="3" a="1"/>
  <c r="T67" i="3" s="1"/>
  <c r="U67" i="3" a="1"/>
  <c r="U67" i="3" s="1"/>
  <c r="V67" i="3" a="1"/>
  <c r="V67" i="3" s="1"/>
  <c r="W67" i="3" a="1"/>
  <c r="W67" i="3" s="1"/>
  <c r="W4" i="3" a="1"/>
  <c r="W4" i="3" s="1"/>
  <c r="V4" i="3" a="1"/>
  <c r="V4" i="3" s="1"/>
  <c r="U4" i="3" a="1"/>
  <c r="U4" i="3" s="1"/>
  <c r="T4" i="3" a="1"/>
  <c r="T4" i="3" s="1"/>
  <c r="T4" i="1" a="1"/>
  <c r="T4" i="1" s="1"/>
  <c r="T5" i="1" l="1" a="1"/>
  <c r="T5" i="1" s="1"/>
  <c r="U5" i="1" a="1"/>
  <c r="U5" i="1" s="1"/>
  <c r="V5" i="1" a="1"/>
  <c r="V5" i="1" s="1"/>
  <c r="W5" i="1" a="1"/>
  <c r="W5" i="1" s="1"/>
  <c r="T6" i="1" a="1"/>
  <c r="T6" i="1" s="1"/>
  <c r="U6" i="1" a="1"/>
  <c r="U6" i="1" s="1"/>
  <c r="V6" i="1" a="1"/>
  <c r="V6" i="1" s="1"/>
  <c r="W6" i="1" a="1"/>
  <c r="W6" i="1" s="1"/>
  <c r="T7" i="1" a="1"/>
  <c r="T7" i="1" s="1"/>
  <c r="U7" i="1" a="1"/>
  <c r="U7" i="1" s="1"/>
  <c r="V7" i="1" a="1"/>
  <c r="V7" i="1" s="1"/>
  <c r="W7" i="1" a="1"/>
  <c r="W7" i="1" s="1"/>
  <c r="T8" i="1" a="1"/>
  <c r="T8" i="1" s="1"/>
  <c r="U8" i="1" a="1"/>
  <c r="U8" i="1" s="1"/>
  <c r="V8" i="1" a="1"/>
  <c r="V8" i="1" s="1"/>
  <c r="W8" i="1" a="1"/>
  <c r="W8" i="1" s="1"/>
  <c r="T9" i="1" a="1"/>
  <c r="T9" i="1" s="1"/>
  <c r="U9" i="1" a="1"/>
  <c r="U9" i="1" s="1"/>
  <c r="V9" i="1" a="1"/>
  <c r="V9" i="1" s="1"/>
  <c r="W9" i="1" a="1"/>
  <c r="W9" i="1" s="1"/>
  <c r="T10" i="1" a="1"/>
  <c r="T10" i="1" s="1"/>
  <c r="U10" i="1" a="1"/>
  <c r="U10" i="1" s="1"/>
  <c r="V10" i="1" a="1"/>
  <c r="V10" i="1" s="1"/>
  <c r="W10" i="1" a="1"/>
  <c r="W10" i="1" s="1"/>
  <c r="T11" i="1" a="1"/>
  <c r="T11" i="1" s="1"/>
  <c r="U11" i="1" a="1"/>
  <c r="U11" i="1" s="1"/>
  <c r="V11" i="1" a="1"/>
  <c r="V11" i="1" s="1"/>
  <c r="W11" i="1" a="1"/>
  <c r="W11" i="1" s="1"/>
  <c r="T12" i="1" a="1"/>
  <c r="T12" i="1" s="1"/>
  <c r="U12" i="1" a="1"/>
  <c r="U12" i="1" s="1"/>
  <c r="V12" i="1" a="1"/>
  <c r="V12" i="1" s="1"/>
  <c r="W12" i="1" a="1"/>
  <c r="W12" i="1" s="1"/>
  <c r="T13" i="1" a="1"/>
  <c r="T13" i="1" s="1"/>
  <c r="U13" i="1" a="1"/>
  <c r="U13" i="1" s="1"/>
  <c r="V13" i="1" a="1"/>
  <c r="V13" i="1" s="1"/>
  <c r="W13" i="1" a="1"/>
  <c r="W13" i="1" s="1"/>
  <c r="T14" i="1" a="1"/>
  <c r="T14" i="1" s="1"/>
  <c r="U14" i="1" a="1"/>
  <c r="U14" i="1" s="1"/>
  <c r="V14" i="1" a="1"/>
  <c r="V14" i="1" s="1"/>
  <c r="W14" i="1" a="1"/>
  <c r="W14" i="1" s="1"/>
  <c r="T15" i="1" a="1"/>
  <c r="T15" i="1" s="1"/>
  <c r="U15" i="1" a="1"/>
  <c r="U15" i="1" s="1"/>
  <c r="V15" i="1" a="1"/>
  <c r="V15" i="1" s="1"/>
  <c r="W15" i="1" a="1"/>
  <c r="W15" i="1" s="1"/>
  <c r="T16" i="1" a="1"/>
  <c r="T16" i="1" s="1"/>
  <c r="U16" i="1" a="1"/>
  <c r="U16" i="1" s="1"/>
  <c r="V16" i="1" a="1"/>
  <c r="V16" i="1" s="1"/>
  <c r="W16" i="1" a="1"/>
  <c r="W16" i="1" s="1"/>
  <c r="T17" i="1" a="1"/>
  <c r="T17" i="1" s="1"/>
  <c r="U17" i="1" a="1"/>
  <c r="U17" i="1" s="1"/>
  <c r="V17" i="1" a="1"/>
  <c r="V17" i="1" s="1"/>
  <c r="W17" i="1" a="1"/>
  <c r="W17" i="1" s="1"/>
  <c r="T18" i="1" a="1"/>
  <c r="T18" i="1" s="1"/>
  <c r="U18" i="1" a="1"/>
  <c r="U18" i="1" s="1"/>
  <c r="V18" i="1" a="1"/>
  <c r="V18" i="1" s="1"/>
  <c r="W18" i="1" a="1"/>
  <c r="W18" i="1" s="1"/>
  <c r="T19" i="1" a="1"/>
  <c r="T19" i="1" s="1"/>
  <c r="U19" i="1" a="1"/>
  <c r="U19" i="1" s="1"/>
  <c r="V19" i="1" a="1"/>
  <c r="V19" i="1" s="1"/>
  <c r="W19" i="1" a="1"/>
  <c r="W19" i="1" s="1"/>
  <c r="T20" i="1" a="1"/>
  <c r="T20" i="1" s="1"/>
  <c r="U20" i="1" a="1"/>
  <c r="U20" i="1" s="1"/>
  <c r="V20" i="1" a="1"/>
  <c r="V20" i="1" s="1"/>
  <c r="W20" i="1" a="1"/>
  <c r="W20" i="1" s="1"/>
  <c r="T21" i="1" a="1"/>
  <c r="T21" i="1" s="1"/>
  <c r="U21" i="1" a="1"/>
  <c r="U21" i="1" s="1"/>
  <c r="V21" i="1" a="1"/>
  <c r="V21" i="1" s="1"/>
  <c r="W21" i="1" a="1"/>
  <c r="W21" i="1" s="1"/>
  <c r="T22" i="1" a="1"/>
  <c r="T22" i="1" s="1"/>
  <c r="U22" i="1" a="1"/>
  <c r="U22" i="1" s="1"/>
  <c r="V22" i="1" a="1"/>
  <c r="V22" i="1" s="1"/>
  <c r="W22" i="1" a="1"/>
  <c r="W22" i="1" s="1"/>
  <c r="T23" i="1" a="1"/>
  <c r="T23" i="1" s="1"/>
  <c r="U23" i="1" a="1"/>
  <c r="U23" i="1" s="1"/>
  <c r="V23" i="1" a="1"/>
  <c r="V23" i="1" s="1"/>
  <c r="W23" i="1" a="1"/>
  <c r="W23" i="1" s="1"/>
  <c r="T24" i="1" a="1"/>
  <c r="T24" i="1" s="1"/>
  <c r="U24" i="1" a="1"/>
  <c r="U24" i="1" s="1"/>
  <c r="V24" i="1" a="1"/>
  <c r="V24" i="1" s="1"/>
  <c r="W24" i="1" a="1"/>
  <c r="W24" i="1" s="1"/>
  <c r="T25" i="1" a="1"/>
  <c r="T25" i="1" s="1"/>
  <c r="U25" i="1" a="1"/>
  <c r="U25" i="1" s="1"/>
  <c r="V25" i="1" a="1"/>
  <c r="V25" i="1" s="1"/>
  <c r="W25" i="1" a="1"/>
  <c r="W25" i="1" s="1"/>
  <c r="T26" i="1" a="1"/>
  <c r="T26" i="1" s="1"/>
  <c r="U26" i="1" a="1"/>
  <c r="U26" i="1" s="1"/>
  <c r="V26" i="1" a="1"/>
  <c r="V26" i="1" s="1"/>
  <c r="W26" i="1" a="1"/>
  <c r="W26" i="1" s="1"/>
  <c r="T27" i="1" a="1"/>
  <c r="T27" i="1" s="1"/>
  <c r="U27" i="1" a="1"/>
  <c r="U27" i="1" s="1"/>
  <c r="V27" i="1" a="1"/>
  <c r="V27" i="1" s="1"/>
  <c r="W27" i="1" a="1"/>
  <c r="W27" i="1" s="1"/>
  <c r="T28" i="1" a="1"/>
  <c r="T28" i="1" s="1"/>
  <c r="U28" i="1" a="1"/>
  <c r="U28" i="1" s="1"/>
  <c r="V28" i="1" a="1"/>
  <c r="V28" i="1" s="1"/>
  <c r="W28" i="1" a="1"/>
  <c r="W28" i="1" s="1"/>
  <c r="T29" i="1" a="1"/>
  <c r="T29" i="1" s="1"/>
  <c r="U29" i="1" a="1"/>
  <c r="U29" i="1" s="1"/>
  <c r="V29" i="1" a="1"/>
  <c r="V29" i="1" s="1"/>
  <c r="W29" i="1" a="1"/>
  <c r="W29" i="1" s="1"/>
  <c r="T30" i="1" a="1"/>
  <c r="T30" i="1" s="1"/>
  <c r="U30" i="1" a="1"/>
  <c r="U30" i="1" s="1"/>
  <c r="V30" i="1" a="1"/>
  <c r="V30" i="1" s="1"/>
  <c r="W30" i="1" a="1"/>
  <c r="W30" i="1" s="1"/>
  <c r="T31" i="1" a="1"/>
  <c r="T31" i="1" s="1"/>
  <c r="U31" i="1" a="1"/>
  <c r="U31" i="1" s="1"/>
  <c r="V31" i="1" a="1"/>
  <c r="V31" i="1" s="1"/>
  <c r="W31" i="1" a="1"/>
  <c r="W31" i="1" s="1"/>
  <c r="T32" i="1" a="1"/>
  <c r="T32" i="1" s="1"/>
  <c r="U32" i="1" a="1"/>
  <c r="U32" i="1" s="1"/>
  <c r="V32" i="1" a="1"/>
  <c r="V32" i="1" s="1"/>
  <c r="W32" i="1" a="1"/>
  <c r="W32" i="1" s="1"/>
  <c r="T33" i="1" a="1"/>
  <c r="T33" i="1" s="1"/>
  <c r="U33" i="1" a="1"/>
  <c r="U33" i="1" s="1"/>
  <c r="V33" i="1" a="1"/>
  <c r="V33" i="1" s="1"/>
  <c r="W33" i="1" a="1"/>
  <c r="W33" i="1" s="1"/>
  <c r="T34" i="1" a="1"/>
  <c r="T34" i="1" s="1"/>
  <c r="U34" i="1" a="1"/>
  <c r="U34" i="1" s="1"/>
  <c r="V34" i="1" a="1"/>
  <c r="V34" i="1" s="1"/>
  <c r="W34" i="1" a="1"/>
  <c r="W34" i="1" s="1"/>
  <c r="T35" i="1" a="1"/>
  <c r="T35" i="1" s="1"/>
  <c r="U35" i="1" a="1"/>
  <c r="U35" i="1" s="1"/>
  <c r="V35" i="1" a="1"/>
  <c r="V35" i="1" s="1"/>
  <c r="W35" i="1" a="1"/>
  <c r="W35" i="1" s="1"/>
  <c r="T36" i="1" a="1"/>
  <c r="T36" i="1" s="1"/>
  <c r="U36" i="1" a="1"/>
  <c r="U36" i="1" s="1"/>
  <c r="V36" i="1" a="1"/>
  <c r="V36" i="1" s="1"/>
  <c r="W36" i="1" a="1"/>
  <c r="W36" i="1" s="1"/>
  <c r="T37" i="1" a="1"/>
  <c r="T37" i="1" s="1"/>
  <c r="U37" i="1" a="1"/>
  <c r="U37" i="1" s="1"/>
  <c r="V37" i="1" a="1"/>
  <c r="V37" i="1" s="1"/>
  <c r="W37" i="1" a="1"/>
  <c r="W37" i="1" s="1"/>
  <c r="T38" i="1" a="1"/>
  <c r="T38" i="1" s="1"/>
  <c r="U38" i="1" a="1"/>
  <c r="U38" i="1" s="1"/>
  <c r="V38" i="1" a="1"/>
  <c r="V38" i="1" s="1"/>
  <c r="W38" i="1" a="1"/>
  <c r="W38" i="1" s="1"/>
  <c r="T39" i="1" a="1"/>
  <c r="T39" i="1" s="1"/>
  <c r="U39" i="1" a="1"/>
  <c r="U39" i="1" s="1"/>
  <c r="V39" i="1" a="1"/>
  <c r="V39" i="1" s="1"/>
  <c r="W39" i="1" a="1"/>
  <c r="W39" i="1" s="1"/>
  <c r="T40" i="1" a="1"/>
  <c r="T40" i="1" s="1"/>
  <c r="U40" i="1" a="1"/>
  <c r="U40" i="1" s="1"/>
  <c r="V40" i="1" a="1"/>
  <c r="V40" i="1" s="1"/>
  <c r="W40" i="1" a="1"/>
  <c r="W40" i="1" s="1"/>
  <c r="T41" i="1" a="1"/>
  <c r="T41" i="1" s="1"/>
  <c r="U41" i="1" a="1"/>
  <c r="U41" i="1" s="1"/>
  <c r="V41" i="1" a="1"/>
  <c r="V41" i="1" s="1"/>
  <c r="W41" i="1" a="1"/>
  <c r="W41" i="1" s="1"/>
  <c r="T42" i="1" a="1"/>
  <c r="T42" i="1" s="1"/>
  <c r="U42" i="1" a="1"/>
  <c r="U42" i="1" s="1"/>
  <c r="V42" i="1" a="1"/>
  <c r="V42" i="1" s="1"/>
  <c r="W42" i="1" a="1"/>
  <c r="W42" i="1" s="1"/>
  <c r="T43" i="1" a="1"/>
  <c r="T43" i="1" s="1"/>
  <c r="U43" i="1" a="1"/>
  <c r="U43" i="1" s="1"/>
  <c r="V43" i="1" a="1"/>
  <c r="V43" i="1" s="1"/>
  <c r="W43" i="1" a="1"/>
  <c r="W43" i="1" s="1"/>
  <c r="T44" i="1" a="1"/>
  <c r="T44" i="1" s="1"/>
  <c r="U44" i="1" a="1"/>
  <c r="U44" i="1" s="1"/>
  <c r="V44" i="1" a="1"/>
  <c r="V44" i="1" s="1"/>
  <c r="W44" i="1" a="1"/>
  <c r="W44" i="1" s="1"/>
  <c r="T45" i="1" a="1"/>
  <c r="T45" i="1" s="1"/>
  <c r="U45" i="1" a="1"/>
  <c r="U45" i="1" s="1"/>
  <c r="V45" i="1" a="1"/>
  <c r="V45" i="1" s="1"/>
  <c r="W45" i="1" a="1"/>
  <c r="W45" i="1" s="1"/>
  <c r="T46" i="1" a="1"/>
  <c r="T46" i="1" s="1"/>
  <c r="U46" i="1" a="1"/>
  <c r="U46" i="1" s="1"/>
  <c r="V46" i="1" a="1"/>
  <c r="V46" i="1" s="1"/>
  <c r="W46" i="1" a="1"/>
  <c r="W46" i="1" s="1"/>
  <c r="T47" i="1" a="1"/>
  <c r="T47" i="1" s="1"/>
  <c r="U47" i="1" a="1"/>
  <c r="U47" i="1" s="1"/>
  <c r="V47" i="1" a="1"/>
  <c r="V47" i="1" s="1"/>
  <c r="W47" i="1" a="1"/>
  <c r="W47" i="1" s="1"/>
  <c r="T48" i="1" a="1"/>
  <c r="T48" i="1" s="1"/>
  <c r="U48" i="1" a="1"/>
  <c r="U48" i="1" s="1"/>
  <c r="V48" i="1" a="1"/>
  <c r="V48" i="1" s="1"/>
  <c r="W48" i="1" a="1"/>
  <c r="W48" i="1" s="1"/>
  <c r="T49" i="1" a="1"/>
  <c r="T49" i="1" s="1"/>
  <c r="U49" i="1" a="1"/>
  <c r="U49" i="1" s="1"/>
  <c r="V49" i="1" a="1"/>
  <c r="V49" i="1" s="1"/>
  <c r="W49" i="1" a="1"/>
  <c r="W49" i="1" s="1"/>
  <c r="T50" i="1" a="1"/>
  <c r="T50" i="1" s="1"/>
  <c r="U50" i="1" a="1"/>
  <c r="U50" i="1" s="1"/>
  <c r="V50" i="1" a="1"/>
  <c r="V50" i="1" s="1"/>
  <c r="W50" i="1" a="1"/>
  <c r="W50" i="1" s="1"/>
  <c r="T51" i="1" a="1"/>
  <c r="T51" i="1" s="1"/>
  <c r="U51" i="1" a="1"/>
  <c r="U51" i="1" s="1"/>
  <c r="V51" i="1" a="1"/>
  <c r="V51" i="1" s="1"/>
  <c r="W51" i="1" a="1"/>
  <c r="W51" i="1" s="1"/>
  <c r="T52" i="1" a="1"/>
  <c r="T52" i="1" s="1"/>
  <c r="U52" i="1" a="1"/>
  <c r="U52" i="1" s="1"/>
  <c r="V52" i="1" a="1"/>
  <c r="V52" i="1" s="1"/>
  <c r="W52" i="1" a="1"/>
  <c r="W52" i="1" s="1"/>
  <c r="T53" i="1" a="1"/>
  <c r="T53" i="1" s="1"/>
  <c r="U53" i="1" a="1"/>
  <c r="U53" i="1" s="1"/>
  <c r="V53" i="1" a="1"/>
  <c r="V53" i="1" s="1"/>
  <c r="W53" i="1" a="1"/>
  <c r="W53" i="1" s="1"/>
  <c r="T54" i="1" a="1"/>
  <c r="T54" i="1" s="1"/>
  <c r="U54" i="1" a="1"/>
  <c r="U54" i="1" s="1"/>
  <c r="V54" i="1" a="1"/>
  <c r="V54" i="1" s="1"/>
  <c r="W54" i="1" a="1"/>
  <c r="W54" i="1" s="1"/>
  <c r="T55" i="1" a="1"/>
  <c r="T55" i="1" s="1"/>
  <c r="U55" i="1" a="1"/>
  <c r="U55" i="1" s="1"/>
  <c r="V55" i="1" a="1"/>
  <c r="V55" i="1" s="1"/>
  <c r="W55" i="1" a="1"/>
  <c r="W55" i="1" s="1"/>
  <c r="T56" i="1" a="1"/>
  <c r="T56" i="1" s="1"/>
  <c r="U56" i="1" a="1"/>
  <c r="U56" i="1" s="1"/>
  <c r="V56" i="1" a="1"/>
  <c r="V56" i="1" s="1"/>
  <c r="W56" i="1" a="1"/>
  <c r="W56" i="1" s="1"/>
  <c r="T57" i="1" a="1"/>
  <c r="T57" i="1" s="1"/>
  <c r="U57" i="1" a="1"/>
  <c r="U57" i="1" s="1"/>
  <c r="V57" i="1" a="1"/>
  <c r="V57" i="1" s="1"/>
  <c r="W57" i="1" a="1"/>
  <c r="W57" i="1" s="1"/>
  <c r="T58" i="1" a="1"/>
  <c r="T58" i="1" s="1"/>
  <c r="U58" i="1" a="1"/>
  <c r="U58" i="1" s="1"/>
  <c r="V58" i="1" a="1"/>
  <c r="V58" i="1" s="1"/>
  <c r="W58" i="1" a="1"/>
  <c r="W58" i="1" s="1"/>
  <c r="T59" i="1" a="1"/>
  <c r="T59" i="1" s="1"/>
  <c r="U59" i="1" a="1"/>
  <c r="U59" i="1" s="1"/>
  <c r="V59" i="1" a="1"/>
  <c r="V59" i="1" s="1"/>
  <c r="W59" i="1" a="1"/>
  <c r="W59" i="1" s="1"/>
  <c r="T60" i="1" a="1"/>
  <c r="T60" i="1" s="1"/>
  <c r="U60" i="1" a="1"/>
  <c r="U60" i="1" s="1"/>
  <c r="V60" i="1" a="1"/>
  <c r="V60" i="1" s="1"/>
  <c r="W60" i="1" a="1"/>
  <c r="W60" i="1" s="1"/>
  <c r="T61" i="1" a="1"/>
  <c r="T61" i="1" s="1"/>
  <c r="U61" i="1" a="1"/>
  <c r="U61" i="1" s="1"/>
  <c r="V61" i="1" a="1"/>
  <c r="V61" i="1" s="1"/>
  <c r="W61" i="1" a="1"/>
  <c r="W61" i="1" s="1"/>
  <c r="T62" i="1" a="1"/>
  <c r="T62" i="1" s="1"/>
  <c r="U62" i="1" a="1"/>
  <c r="U62" i="1" s="1"/>
  <c r="V62" i="1" a="1"/>
  <c r="V62" i="1" s="1"/>
  <c r="W62" i="1" a="1"/>
  <c r="W62" i="1" s="1"/>
  <c r="T63" i="1" a="1"/>
  <c r="T63" i="1" s="1"/>
  <c r="U63" i="1" a="1"/>
  <c r="U63" i="1" s="1"/>
  <c r="V63" i="1" a="1"/>
  <c r="V63" i="1" s="1"/>
  <c r="W63" i="1" a="1"/>
  <c r="W63" i="1" s="1"/>
  <c r="T64" i="1" a="1"/>
  <c r="T64" i="1" s="1"/>
  <c r="U64" i="1" a="1"/>
  <c r="U64" i="1" s="1"/>
  <c r="V64" i="1" a="1"/>
  <c r="V64" i="1" s="1"/>
  <c r="W64" i="1" a="1"/>
  <c r="W64" i="1" s="1"/>
  <c r="T65" i="1" a="1"/>
  <c r="T65" i="1" s="1"/>
  <c r="U65" i="1" a="1"/>
  <c r="U65" i="1" s="1"/>
  <c r="V65" i="1" a="1"/>
  <c r="V65" i="1" s="1"/>
  <c r="W65" i="1" a="1"/>
  <c r="W65" i="1" s="1"/>
  <c r="T66" i="1" a="1"/>
  <c r="T66" i="1" s="1"/>
  <c r="U66" i="1" a="1"/>
  <c r="U66" i="1" s="1"/>
  <c r="V66" i="1" a="1"/>
  <c r="V66" i="1" s="1"/>
  <c r="W66" i="1" a="1"/>
  <c r="W66" i="1" s="1"/>
  <c r="T67" i="1" a="1"/>
  <c r="T67" i="1" s="1"/>
  <c r="U67" i="1" a="1"/>
  <c r="U67" i="1" s="1"/>
  <c r="V67" i="1" a="1"/>
  <c r="V67" i="1" s="1"/>
  <c r="W67" i="1" a="1"/>
  <c r="W67" i="1" s="1"/>
  <c r="W4" i="1" a="1"/>
  <c r="W4" i="1" s="1"/>
  <c r="V4" i="1" a="1"/>
  <c r="V4" i="1" s="1"/>
  <c r="U4" i="1" a="1"/>
  <c r="U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<sst xmlns="http://schemas.openxmlformats.org/spreadsheetml/2006/main" count="2858" uniqueCount="263">
  <si>
    <t>Sdn[6:8]</t>
  </si>
  <si>
    <t>Original Text</t>
  </si>
  <si>
    <t>Condition</t>
  </si>
  <si>
    <t>Sdn[5:0]</t>
  </si>
  <si>
    <t>000</t>
  </si>
  <si>
    <t>010</t>
  </si>
  <si>
    <t>100</t>
  </si>
  <si>
    <t>110</t>
  </si>
  <si>
    <t xml:space="preserve">  Normal     000000    0, 0, 0, 0    0, 0,+1,+1    0,+1,+1, 0    0,+1, 0,+1</t>
  </si>
  <si>
    <t xml:space="preserve">  Normal     000001   -2, 0, 0, 0   -2, 0,+1,+1   -2,+1,+1, 0   -2,+1, 0,+1</t>
  </si>
  <si>
    <t xml:space="preserve">  Normal     000010    0,-2, 0, 0    0,-2,+1,+1    0,-1,+1, 0    0,-1, 0,+1</t>
  </si>
  <si>
    <t xml:space="preserve">  Normal     000011   -2,-2, 0, 0   -2,-2,+1,+1   -2,-1,+1, 0   -2,-1, 0,+1</t>
  </si>
  <si>
    <t xml:space="preserve">  Normal     000100    0, 0,-2, 0    0, 0,-1,+1    0,+1,-1, 0    0,+1,-2,+1</t>
  </si>
  <si>
    <t xml:space="preserve">  Normal     000101   -2, 0,-2, 0   -2, 0,-1,+1   -2,+1,-1, 0   -2,+1,-2,+1</t>
  </si>
  <si>
    <t xml:space="preserve">  Normal     000110    0,-2,-2, 0    0,-2,-1,+1    0,-1,-1, 0    0,-1,-2,+1</t>
  </si>
  <si>
    <t xml:space="preserve">  Normal     000111   -2,-2,-2, 0   -2,-2,-1,+1   -2,-1,-1, 0   -2,-1,-2,+1</t>
  </si>
  <si>
    <t xml:space="preserve">  Normal     001000    0, 0, 0,-2    0, 0,+1,-1    0,+1,+1,-2    0,+1, 0,-1</t>
  </si>
  <si>
    <t xml:space="preserve">  Normal     001001   -2, 0, 0,-2   -2, 0,+1,-1   -2,+1,+1,-2   -2,+1, 0,-1</t>
  </si>
  <si>
    <t xml:space="preserve">  Normal     001010    0,-2, 0,-2    0,-2,+1,-1    0,-1,+1,-2    0,-1, 0,-1</t>
  </si>
  <si>
    <t xml:space="preserve">  Normal     001011   -2,-2, 0,-2   -2,-2,+1,-1   -2,-1,+1,-2   -2,-1, 0,-1</t>
  </si>
  <si>
    <t xml:space="preserve">  Normal     001100    0, 0,-2,-2    0, 0,-1,-1    0,+1,-1,-2    0,+1,-2,-1</t>
  </si>
  <si>
    <t xml:space="preserve">  Normal     001101   -2, 0,-2,-2   -2, 0,-1,-1   -2,+1,-1,-2   -2,+1,-2,-1</t>
  </si>
  <si>
    <t xml:space="preserve">  Normal     001110    0,-2,-2,-2    0,-2,-1,-1    0,-1,-1,-2    0,-1,-2,-1</t>
  </si>
  <si>
    <t xml:space="preserve">  Normal     001111   -2,-2,-2,-2   -2,-2,-1,-1   -2,-1,-1,-2   -2,-1,-2,-1</t>
  </si>
  <si>
    <t xml:space="preserve">  Normal     010000   +1,+1,+1,+1   +1,+1, 0, 0   +1, 0, 0,+1   +1, 0,+1, 0</t>
  </si>
  <si>
    <t xml:space="preserve">  Normal     010001   -1,+1,+1,+1   -1,+1, 0, 0   -1, 0, 0,+1   -1, 0,+1, 0</t>
  </si>
  <si>
    <t xml:space="preserve">  Normal     010010   +1,-1,+1,+1   +1,-1, 0, 0   +1,-2, 0,+1   +1,-2,+1, 0</t>
  </si>
  <si>
    <t xml:space="preserve">  Normal     010011   -1,-1,+1,+1   -1,-1, 0, 0   -1,-2, 0,+1   -1,-2,+1, 0</t>
  </si>
  <si>
    <t xml:space="preserve">  Normal     010100   +1,+1,-1,+1   +1,+1,-2, 0   +1, 0,-2,+1   +1, 0,-1, 0</t>
  </si>
  <si>
    <t xml:space="preserve">  Normal     010101   -1,+1,-1,+1   -1,+1,-2, 0   -1, 0,-2,+1   -1, 0,-1, 0</t>
  </si>
  <si>
    <t xml:space="preserve">  Normal     010110   +1,-1,-1,+1   +1,-1,-2, 0   +1,-2,-2,+1   +1,-2,-1, 0</t>
  </si>
  <si>
    <t xml:space="preserve">  Normal     010111   -1,-1,-1,+1   -1,-1,-2, 0   -1,-2,-2,+1   -1,-2,-1, 0</t>
  </si>
  <si>
    <t xml:space="preserve">  Normal     011000   +1,+1,+1,-1   +1,+1, 0,-2   +1, 0, 0,-1   +1, 0,+1,-2</t>
  </si>
  <si>
    <t xml:space="preserve">  Normal     011001   -1,+1,+1,-1   -1,+1, 0,-2   -1, 0, 0,-1   -1, 0,+1,-2</t>
  </si>
  <si>
    <t xml:space="preserve">  Normal     011010   +1,-1,+1,-1   +1,-1, 0,-2   +1,-2, 0,-1   +1,-2,+1,-2</t>
  </si>
  <si>
    <t xml:space="preserve">  Normal     011011   -1,-1,+1,-1   -1,-1, 0,-2   -1,-2, 0,-1   -1,-2,+1,-2</t>
  </si>
  <si>
    <t xml:space="preserve">  Normal     011100   +1,+1,-1,-1   +1,+1,-2,-2   +1, 0,-2,-1   +1, 0,-1,-2</t>
  </si>
  <si>
    <t xml:space="preserve">  Normal     011101   -1,+1,-1,-1   -1,+1,-2,-2   -1, 0,-2,-1   -1, 0,-1,-2</t>
  </si>
  <si>
    <t xml:space="preserve">  Normal     011110   +1,-1,-1,-1   +1,-1,-2,-2   +1,-2,-2,-1   +1,-2,-1,-2</t>
  </si>
  <si>
    <t xml:space="preserve">  Normal     011111   -1,-1,-1,-1   -1,-1,-2,-2   -1,-2,-2,-1   -1,-2,-1,-2</t>
  </si>
  <si>
    <t xml:space="preserve">  Normal     100000   +2, 0, 0, 0   +2, 0,+1,+1   +2,+1,+1, 0   +2,+1, 0,+1</t>
  </si>
  <si>
    <t xml:space="preserve">  Normal     100001   +2,-2, 0, 0   +2,-2,+1,+1   +2,-1,+1, 0   +2,-1, 0,+1</t>
  </si>
  <si>
    <t xml:space="preserve">  Normal     100010   +2, 0,-2, 0   +2, 0,-1,+1   +2,+1,-1, 0   +2,+1,-2,+1</t>
  </si>
  <si>
    <t xml:space="preserve">  Normal     100011   +2,-2,-2, 0   +2,-2,-1,+1   +2,-1,-1, 0   +2,-1,-2,+1</t>
  </si>
  <si>
    <t xml:space="preserve">  Normal     100100   +2, 0, 0,-2   +2, 0,+1,-1   +2,+1,+1,-2   +2,+1, 0,-1</t>
  </si>
  <si>
    <t xml:space="preserve">  Normal     100101   +2,-2, 0,-2   +2,-2,+1,-1   +2,-1,+1,-2   +2,-1, 0,-1</t>
  </si>
  <si>
    <t xml:space="preserve">  Normal     100110   +2, 0,-2,-2   +2, 0,-1,-1   +2,+1,-1,-2   +2,+1,-2,-1</t>
  </si>
  <si>
    <t xml:space="preserve">  Normal     100111   +2,-2,-2,-2   +2,-2,-1,-1   +2,-1,-1,-2   +2,-1,-2,-1</t>
  </si>
  <si>
    <t xml:space="preserve">  Normal     101000    0, 0,+2, 0   +1,+1,+2, 0   +1, 0,+2,+1    0,+1,+2,+1</t>
  </si>
  <si>
    <t xml:space="preserve">  Normal     101001   -2, 0,+2, 0   -1,+1,+2, 0   -1, 0,+2,+1   -2,+1,+2,+1</t>
  </si>
  <si>
    <t xml:space="preserve">  Normal     101010    0,-2,+2, 0   +1,-1,+2, 0   +1,-2,+2,+1    0,-1,+2,+1</t>
  </si>
  <si>
    <t xml:space="preserve">  Normal     101011   -2,-2,+2, 0   -1,-1,+2, 0   -1,-2,+2,+1   -2,-1,+2,+1</t>
  </si>
  <si>
    <t xml:space="preserve">  Normal     101100    0, 0,+2,-2   +1,+1,+2,-2   +1, 0,+2,-1    0,+1,+2,-1</t>
  </si>
  <si>
    <t xml:space="preserve">  Normal     101101   -2, 0,+2,-2   -1,+1,+2,-2   -1, 0,+2,-1   -2,+1,+2,-1</t>
  </si>
  <si>
    <t xml:space="preserve">  Normal     101110    0,-2,+2,-2   +1,-1,+2,-2   +1,-2,+2,-1    0,-1,+2,-1</t>
  </si>
  <si>
    <t xml:space="preserve">  Normal     101111   -2,-2,+2,-2   -1,-1,+2,-2   -1,-2,+2,-1   -2,-1,+2,-1</t>
  </si>
  <si>
    <t xml:space="preserve">  Normal     110000    0,+2, 0, 0    0,+2,+1,+1   +1,+2, 0,+1   +1,+2,+1, 0</t>
  </si>
  <si>
    <t xml:space="preserve">  Normal     110001   -2,+2, 0, 0   -2,+2,+1,+1   -1,+2, 0,+1   -1,+2,+1, 0</t>
  </si>
  <si>
    <t xml:space="preserve">  Normal     110010    0,+2,-2, 0    0,+2,-1,+1   +1,+2,-2,+1   +1,+2,-1, 0</t>
  </si>
  <si>
    <t xml:space="preserve">  Normal     110011   -2,+2,-2, 0   -2,+2,-1,+1   -1,+2,-2,+1   -1,+2,-1, 0</t>
  </si>
  <si>
    <t xml:space="preserve">  Normal     110100    0,+2, 0,-2    0,+2,+1,-1   +1,+2, 0,-1   +1,+2,+1,-2</t>
  </si>
  <si>
    <t xml:space="preserve">  Normal     110101   -2,+2, 0,-2   -2,+2,+1,-1   -1,+2, 0,-1   -1,+2,+1,-2</t>
  </si>
  <si>
    <t xml:space="preserve">  Normal     110110    0,+2,-2,-2    0,+2,-1,-1   +1,+2,-2,-1   +1,+2,-1,-2</t>
  </si>
  <si>
    <t xml:space="preserve">  Normal     110111   -2,+2,-2,-2   -2,+2,-1,-1   -1,+2,-2,-1   -1,+2,-1,-2</t>
  </si>
  <si>
    <t xml:space="preserve">  Normal     111000    0, 0, 0,+2   +1,+1, 0,+2    0,+1,+1,+2   +1, 0,+1,+2</t>
  </si>
  <si>
    <t xml:space="preserve">  Normal     111001   -2, 0, 0,+2   -1,+1, 0,+2   -2,+1,+1,+2   -1, 0,+1,+2</t>
  </si>
  <si>
    <t xml:space="preserve">  Normal     111010    0,-2, 0,+2   +1,-1, 0,+2    0,-1,+1,+2   +1,-2,+1,+2</t>
  </si>
  <si>
    <t xml:space="preserve">  Normal     111011   -2,-2, 0,+2   -1,-1, 0,+2   -2,-1,+1,+2   -1,-2,+1,+2</t>
  </si>
  <si>
    <t xml:space="preserve">  Normal     111100    0, 0,-2,+2   +1,+1,-2,+2    0,+1,-1,+2   +1, 0,-1,+2</t>
  </si>
  <si>
    <t xml:space="preserve">  Normal     111101   -2, 0,-2,+2   -1,+1,-2,+2   -2,+1,-1,+2   -1, 0,-1,+2</t>
  </si>
  <si>
    <t xml:space="preserve">  Normal     111110    0,-2,-2,+2   +1,-1,-2,+2    0,-1,-1,+2   +1,-2,-1,+2</t>
  </si>
  <si>
    <t xml:space="preserve">  Normal     111111   -2,-2,-2,+2   -1,-1,-2,+2   -2,-1,-1,+2   -1,-2,-1,+2</t>
  </si>
  <si>
    <t xml:space="preserve"> xmt_err     XXXXXX    0,+2,+2, 0   +1,+1,+2,+2   +2,+1,+1,+2   +2,+1,+2,+1</t>
  </si>
  <si>
    <t>CSExtend_Err XXXXXX   -2,+2,+2,-2   -1,-1,+2,+2   +2,-1,-1,+2   +2,-1,+2,-1</t>
  </si>
  <si>
    <t xml:space="preserve">  CSExtend   XXXXXX   +2, 0, 0,+2   +2,+2,+1,+1   +1,+2,+2,+1   +1,+2,+1,+2</t>
  </si>
  <si>
    <t xml:space="preserve">  CSReset    XXXXXX   +2,-2,-2,+2   +2,+2,-1,-1   -1,+2,+2,-1   -1,+2,-1,+2</t>
  </si>
  <si>
    <t xml:space="preserve">   SSD1      XXXXXX   +2,+2,+2,+2        -             -             -</t>
  </si>
  <si>
    <t xml:space="preserve">   SSD2      XXXXXX   +2,+2,+2,-2        -             -             -</t>
  </si>
  <si>
    <t xml:space="preserve">   ESD1      XXXXXX   +2,+2,+2,+2        -             -             -</t>
  </si>
  <si>
    <t>ESD2_Ext_0   XXXXXX   +2,+2,+2,-2        -             -             -</t>
  </si>
  <si>
    <t>ESD2_Ext_1   XXXXXX   +2,+2,-2,+2        -             -             -</t>
  </si>
  <si>
    <t>ESD2_Ext_2   XXXXXX   +2,-2,+2,+2        -             -             -</t>
  </si>
  <si>
    <t>ESD_Ext_Err  XXXXXX   -2,+2,+2,+2        -             -             -</t>
  </si>
  <si>
    <t>Idle/CarrExt 000000    0, 0, 0, 0        -             -             -</t>
  </si>
  <si>
    <t>Idle/CarrExt 000001   -2, 0, 0, 0        -             -             -</t>
  </si>
  <si>
    <t>Idle/CarrExt 000010    0,-2, 0, 0        -             -             -</t>
  </si>
  <si>
    <t>Idle/CarrExt 000011   -2,-2, 0, 0        -             -             -</t>
  </si>
  <si>
    <t>Idle/CarrExt 000100    0, 0,-2, 0        -             -             -</t>
  </si>
  <si>
    <t>Idle/CarrExt 000101   -2, 0,-2, 0        -             -             -</t>
  </si>
  <si>
    <t>Idle/CarrExt 000110    0,-2,-2, 0        -             -             -</t>
  </si>
  <si>
    <t>Idle/CarrExt 000111   -2,-2,-2, 0        -             -             -</t>
  </si>
  <si>
    <t>Idle/CarrExt 001000    0, 0, 0,-2        -             -             -</t>
  </si>
  <si>
    <t>Idle/CarrExt 001001   -2, 0, 0,-2        -             -             -</t>
  </si>
  <si>
    <t>Idle/CarrExt 001010    0,-2, 0,-2        -             -             -</t>
  </si>
  <si>
    <t>Idle/CarrExt 001011   -2,-2, 0,-2        -             -             -</t>
  </si>
  <si>
    <t>Idle/CarrExt 001100    0, 0,-2,-2        -             -             -</t>
  </si>
  <si>
    <t>Idle/CarrExt 001101   -2, 0,-2,-2        -             -             -</t>
  </si>
  <si>
    <t>Idle/CarrExt 001110    0,-2,-2,-2        -             -             -</t>
  </si>
  <si>
    <t>Idle/CarrExt 001111   -2,-2,-2,-2        -             -             -</t>
  </si>
  <si>
    <t>Value</t>
  </si>
  <si>
    <t>Mapping</t>
  </si>
  <si>
    <t>+2</t>
  </si>
  <si>
    <t>+1</t>
  </si>
  <si>
    <t>3'b010</t>
  </si>
  <si>
    <t>3'b001</t>
  </si>
  <si>
    <t>3'b000</t>
  </si>
  <si>
    <t>3'b111</t>
  </si>
  <si>
    <t>3'b110</t>
  </si>
  <si>
    <t>Normal</t>
  </si>
  <si>
    <t>000000</t>
  </si>
  <si>
    <t>0</t>
  </si>
  <si>
    <t>000001</t>
  </si>
  <si>
    <t>-2</t>
  </si>
  <si>
    <t>000010</t>
  </si>
  <si>
    <t>-1</t>
  </si>
  <si>
    <t>000011</t>
  </si>
  <si>
    <t>000100</t>
  </si>
  <si>
    <t>000101</t>
  </si>
  <si>
    <t>000110</t>
  </si>
  <si>
    <t>000111</t>
  </si>
  <si>
    <t>001000</t>
  </si>
  <si>
    <t>001001</t>
  </si>
  <si>
    <t>001010</t>
  </si>
  <si>
    <t>001011</t>
  </si>
  <si>
    <t>001100</t>
  </si>
  <si>
    <t>001101</t>
  </si>
  <si>
    <t>001110</t>
  </si>
  <si>
    <t>001111</t>
  </si>
  <si>
    <t>010000</t>
  </si>
  <si>
    <t>010001</t>
  </si>
  <si>
    <t>010010</t>
  </si>
  <si>
    <t>010011</t>
  </si>
  <si>
    <t>010100</t>
  </si>
  <si>
    <t>010101</t>
  </si>
  <si>
    <t>010110</t>
  </si>
  <si>
    <t>010111</t>
  </si>
  <si>
    <t>011000</t>
  </si>
  <si>
    <t>011001</t>
  </si>
  <si>
    <t>011010</t>
  </si>
  <si>
    <t>011011</t>
  </si>
  <si>
    <t>011100</t>
  </si>
  <si>
    <t>011101</t>
  </si>
  <si>
    <t>011110</t>
  </si>
  <si>
    <t>011111</t>
  </si>
  <si>
    <t>100000</t>
  </si>
  <si>
    <t>100001</t>
  </si>
  <si>
    <t>100010</t>
  </si>
  <si>
    <t>100011</t>
  </si>
  <si>
    <t>100100</t>
  </si>
  <si>
    <t>100101</t>
  </si>
  <si>
    <t>100110</t>
  </si>
  <si>
    <t>100111</t>
  </si>
  <si>
    <t>101000</t>
  </si>
  <si>
    <t>101001</t>
  </si>
  <si>
    <t>101010</t>
  </si>
  <si>
    <t>101011</t>
  </si>
  <si>
    <t>101100</t>
  </si>
  <si>
    <t>101101</t>
  </si>
  <si>
    <t>101110</t>
  </si>
  <si>
    <t>101111</t>
  </si>
  <si>
    <t>110000</t>
  </si>
  <si>
    <t>110001</t>
  </si>
  <si>
    <t>110010</t>
  </si>
  <si>
    <t>110011</t>
  </si>
  <si>
    <t>110100</t>
  </si>
  <si>
    <t>110101</t>
  </si>
  <si>
    <t>110110</t>
  </si>
  <si>
    <t>110111</t>
  </si>
  <si>
    <t>111000</t>
  </si>
  <si>
    <t>111001</t>
  </si>
  <si>
    <t>111010</t>
  </si>
  <si>
    <t>111011</t>
  </si>
  <si>
    <t>111100</t>
  </si>
  <si>
    <t>111101</t>
  </si>
  <si>
    <t>111110</t>
  </si>
  <si>
    <t>111111</t>
  </si>
  <si>
    <t>xmt_err</t>
  </si>
  <si>
    <t>XXXXXX</t>
  </si>
  <si>
    <t>CSExtend_Err</t>
  </si>
  <si>
    <t>CSExtend</t>
  </si>
  <si>
    <t>CSReset</t>
  </si>
  <si>
    <t>SSD1</t>
  </si>
  <si>
    <t>-</t>
  </si>
  <si>
    <t>SSD2</t>
  </si>
  <si>
    <t>ESD1</t>
  </si>
  <si>
    <t>ESD2_Ext_0</t>
  </si>
  <si>
    <t>ESD2_Ext_1</t>
  </si>
  <si>
    <t>ESD2_Ext_2</t>
  </si>
  <si>
    <t>ESD_Ext_Err</t>
  </si>
  <si>
    <t>Idle/CarrExt</t>
  </si>
  <si>
    <t>001</t>
  </si>
  <si>
    <t>011</t>
  </si>
  <si>
    <t>Code</t>
  </si>
  <si>
    <t>101</t>
  </si>
  <si>
    <t>111</t>
  </si>
  <si>
    <t xml:space="preserve">  Normal     000000    0, 0, 0,+1    0, 0,+1, 0    0,+1,+1,+1    0,+1, 0, 0</t>
  </si>
  <si>
    <t xml:space="preserve">  Normal     000001   -2, 0, 0,+1   -2, 0,+1, 0   -2,+1,+1,+1   -2,+1, 0, 0</t>
  </si>
  <si>
    <t xml:space="preserve">  Normal     000010    0,-2, 0,+1    0,-2,+1, 0    0,-1,+1,+1    0,-1, 0, 0</t>
  </si>
  <si>
    <t xml:space="preserve">  Normal     000011   -2,-2, 0,+1   -2,-2,+1, 0   -2,-1,+1,+1   -2,-1, 0, 0</t>
  </si>
  <si>
    <t xml:space="preserve">  Normal     000100    0, 0,-2,+1    0, 0,-1, 0    0,+1,-1,+1    0,+1,-2, 0</t>
  </si>
  <si>
    <t xml:space="preserve">  Normal     000101   -2, 0,-2,+1   -2, 0,-1, 0   -2,+1,-1,+1   -2,+1,-2, 0</t>
  </si>
  <si>
    <t xml:space="preserve">  Normal     000110    0,-2,-2,+1    0,-2,-1, 0    0,-1,-1,+1    0,-1,-2, 0</t>
  </si>
  <si>
    <t xml:space="preserve">  Normal     000111   -2,-2,-2,+1   -2,-2,-1, 0   -2,-1,-1,+1   -2,-1,-2, 0</t>
  </si>
  <si>
    <t xml:space="preserve">  Normal     001000    0, 0, 0,-1    0, 0,+1,-2    0,+1,+1,-1    0,+1, 0,-2</t>
  </si>
  <si>
    <t xml:space="preserve">  Normal     001001   -2, 0, 0,-1   -2, 0,+1,-2   -2,+1,+1,-1   -2,+1, 0,-2</t>
  </si>
  <si>
    <t xml:space="preserve">  Normal     001010    0,-2, 0,-1    0,-2,+1,-2    0,-1,+1,-1    0,-1, 0,-2</t>
  </si>
  <si>
    <t xml:space="preserve">  Normal     001011   -2,-2, 0,-1   -2,-2,+1,-2   -2,-1,+1,-1   -2,-1, 0,-2</t>
  </si>
  <si>
    <t xml:space="preserve">  Normal     001100    0, 0,-2,-1    0, 0,-1,-2    0,+1,-1,-1    0,+1,-2,-2</t>
  </si>
  <si>
    <t xml:space="preserve">  Normal     001101   -2, 0,-2,-1   -2, 0,-1,-2   -2,+1,-1,-1   -2,+1,-2,-2</t>
  </si>
  <si>
    <t xml:space="preserve">  Normal     001110    0,-2,-2,-1    0,-2,-1,-2    0,-1,-1,-1    0,-1,-2,-2</t>
  </si>
  <si>
    <t xml:space="preserve">  Normal     001111   -2,-2,-2,-1   -2,-2,-1,-2   -2,-1,-1,-1   -2,-1,-2,-2</t>
  </si>
  <si>
    <t xml:space="preserve">  Normal     010000   +1,+1,+1, 0   +1,+1, 0,+1   +1, 0, 0, 0   +1, 0,+1,+1</t>
  </si>
  <si>
    <t xml:space="preserve">  Normal     010001   -1,+1,+1, 0   -1,+1, 0,+1   -1, 0, 0, 0   -1, 0,+1,+1</t>
  </si>
  <si>
    <t xml:space="preserve">  Normal     010010   +1,-1,+1, 0   +1,-1, 0,+1   +1,-2, 0, 0   +1,-2,+1,+1</t>
  </si>
  <si>
    <t xml:space="preserve">  Normal     010011   -1,-1,+1, 0   -1,-1, 0,+1   -1,-2, 0, 0   -1,-2,+1,+1</t>
  </si>
  <si>
    <t xml:space="preserve">  Normal     010100   +1,+1,-1, 0   +1,+1,-2,+1   +1, 0,-2, 0   +1, 0,-1,+1</t>
  </si>
  <si>
    <t xml:space="preserve">  Normal     010101   -1,+1,-1, 0   -1,+1,-2,+1   -1, 0,-2, 0   -1, 0,-1,+1</t>
  </si>
  <si>
    <t xml:space="preserve">  Normal     010110   +1,-1,-1, 0   +1,-1,-2,+1   +1,-2,-2, 0   +1,-2,-1,+1</t>
  </si>
  <si>
    <t xml:space="preserve">  Normal     010111   -1,-1,-1, 0   -1,-1,-2,+1   -1,-2,-2, 0   -1,-2,-1,+1</t>
  </si>
  <si>
    <t xml:space="preserve">  Normal     011000   +1,+1,+1,-2   +1,+1, 0,-1   +1, 0, 0,-2   +1, 0,+1,-1</t>
  </si>
  <si>
    <t xml:space="preserve">  Normal     011001   -1,+1,+1,-2   -1,+1, 0,-1   -1, 0, 0,-2   -1, 0,+1,-1</t>
  </si>
  <si>
    <t xml:space="preserve">  Normal     011010   +1,-1,+1,-2   +1,-1, 0,-1   +1,-2, 0,-2   +1,-2,+1,-1</t>
  </si>
  <si>
    <t xml:space="preserve">  Normal     011011   -1,-1,+1,-2   -1,-1, 0,-1   -1,-2, 0,-2   -1,-2,+1,-1</t>
  </si>
  <si>
    <t xml:space="preserve">  Normal     011100   +1,+1,-1,-2   +1,+1,-2,-1   +1, 0,-2,-2   +1, 0,-1,-1</t>
  </si>
  <si>
    <t xml:space="preserve">  Normal     011101   -1,+1,-1,-2   -1,+1,-2,-1   -1, 0,-2,-2   -1, 0,-1,-1</t>
  </si>
  <si>
    <t xml:space="preserve">  Normal     011110   +1,-1,-1,-2   +1,-1,-2,-1   +1,-2,-2,-2   +1,-2,-1,-1</t>
  </si>
  <si>
    <t xml:space="preserve">  Normal     011111   -1,-1,-1,-2   -1,-1,-2,-1   -1,-2,-2,-2   -1,-2,-1,-1</t>
  </si>
  <si>
    <t xml:space="preserve">  Normal     100000   +2, 0, 0,+1   +2, 0,+1, 0   +2,+1,+1,+1   +2,+1, 0, 0</t>
  </si>
  <si>
    <t xml:space="preserve">  Normal     100001   +2,-2, 0,+1   +2,-2,+1, 0   +2,-1,+1,+1   +2,-1, 0, 0</t>
  </si>
  <si>
    <t xml:space="preserve">  Normal     100010   +2, 0,-2,+1   +2, 0,-1, 0   +2,+1,-1,+1   +2,+1,-2, 0</t>
  </si>
  <si>
    <t xml:space="preserve">  Normal     100011   +2,-2,-2,+1   +2,-2,-1, 0   +2,-1,-1,+1   +2,-1,-2, 0</t>
  </si>
  <si>
    <t xml:space="preserve">  Normal     100100   +2, 0, 0,-1   +2, 0,+1,-2   +2,+1,+1,-1   +2,+1, 0,-2</t>
  </si>
  <si>
    <t xml:space="preserve">  Normal     100101   +2,-2, 0,-1   +2,-2,+1,-2   +2,-1,+1,-1   +2,-1, 0,-2</t>
  </si>
  <si>
    <t xml:space="preserve">  Normal     100110   +2, 0,-2,-1   +2, 0,-1,-2   +2,+1,-1,-1   +2,+1,-2,-2</t>
  </si>
  <si>
    <t xml:space="preserve">  Normal     100111   +2,-2,-2,-1   +2,-2,-1,-2   +2,-1,-1,-1   +2,-1,-2,-2</t>
  </si>
  <si>
    <t xml:space="preserve">  Normal     101000    0, 0,+2,+1   +1,+1,+2,+1   +1, 0,+2, 0    0,+1,+2, 0</t>
  </si>
  <si>
    <t xml:space="preserve">  Normal     101001   -2, 0,+2,+1   -1,+1,+2,+1   -1, 0,+2, 0   -2,+1,+2, 0</t>
  </si>
  <si>
    <t xml:space="preserve">  Normal     101010    0,-2,+2,+1   +1,-1,+2,+1   +1,-2,+2, 0    0,-1,+2, 0</t>
  </si>
  <si>
    <t xml:space="preserve">  Normal     101011   -2,-2,+2,+1   -1,-1,+2,+1   -1,-2,+2, 0   -2,-1,+2, 0</t>
  </si>
  <si>
    <t xml:space="preserve">  Normal     101100    0, 0,+2,-1   +1,+1,+2,-1   +1, 0,+2,-2    0,+1,+2,-2</t>
  </si>
  <si>
    <t xml:space="preserve">  Normal     101101   -2, 0,+2,-1   -1,+1,+2,-1   -1, 0,+2,-2   -2,+1,+2,-2</t>
  </si>
  <si>
    <t xml:space="preserve">  Normal     101110    0,-2,+2,-1   +1,-1,+2,-1   +1,-2,+2,-2    0,-1,+2,-2</t>
  </si>
  <si>
    <t xml:space="preserve">  Normal     101111   -2,-2,+2,-1   -1,-1,+2,-1   -1,-2,+2,-2   -2,-1,+2,-2</t>
  </si>
  <si>
    <t xml:space="preserve">  Normal     110000    0,+2, 0,+1    0,+2,+1, 0   +1,+2, 0, 0   +1,+2,+1,+1</t>
  </si>
  <si>
    <t xml:space="preserve">  Normal     110001   -2,+2, 0,+1   -2,+2,+1, 0   -1,+2, 0, 0   -1,+2,+1,+1</t>
  </si>
  <si>
    <t xml:space="preserve">  Normal     110010    0,+2,-2,+1    0,+2,-1, 0   +1,+2,-2, 0   +1,+2,-1,+1</t>
  </si>
  <si>
    <t xml:space="preserve">  Normal     110011   -2,+2,-2,+1   -2,+2,-1, 0   -1,+2,-2, 0   -1,+2,-1,+1</t>
  </si>
  <si>
    <t xml:space="preserve">  Normal     110100    0,+2, 0,-1    0,+2,+1,-2   +1,+2, 0,-2   +1,+2,+1,-1</t>
  </si>
  <si>
    <t xml:space="preserve">  Normal     110101   -2,+2, 0,-1   -2,+2,+1,-2   -1,+2, 0,-2   -1,+2,+1,-1</t>
  </si>
  <si>
    <t xml:space="preserve">  Normal     110110    0,+2,-2,-1    0,+2,-1,-2   +1,+2,-2,-2   +1,+2,-1,-1</t>
  </si>
  <si>
    <t xml:space="preserve">  Normal     110111   -2,+2,-2,-1   -2,+2,-1,-2   -1,+2,-2,-2   -1,+2,-1,-1</t>
  </si>
  <si>
    <t xml:space="preserve">  Normal     111000   +1,+1,+1,+2    0, 0,+1,+2   +1, 0, 0,+2    0,+1, 0,+2</t>
  </si>
  <si>
    <t xml:space="preserve">  Normal     111001   -1,+1,+1,+2   -2, 0,+1,+2   -1, 0, 0,+2   -2,+1, 0,+2</t>
  </si>
  <si>
    <t xml:space="preserve">  Normal     111010   +1,-1,+1,+2    0,-2,+1,+2   +1,-2, 0,+2    0,-1, 0,+2</t>
  </si>
  <si>
    <t xml:space="preserve">  Normal     111011   -1,-1,+1,+2   -2,-2,+1,+2   -1,-2, 0,+2   -2,-1, 0,+2</t>
  </si>
  <si>
    <t xml:space="preserve">  Normal     111100   +1,+1,-1,+2    0, 0,-1,+2   +1, 0,-2,+2    0,+1,-2,+2</t>
  </si>
  <si>
    <t xml:space="preserve">  Normal     111101   -1,+1,-1,+2   -2, 0,-1,+2   -1, 0,-2,+2   -2,+1,-2,+2</t>
  </si>
  <si>
    <t xml:space="preserve">  Normal     111110   +1,-1,-1,+2    0,-2,-1,+2   +1,-2,-2,+2    0,-1,-2,+2</t>
  </si>
  <si>
    <t xml:space="preserve">  Normal     111111   -1,-1,-1,+2   -2,-2,-1,+2   -1,-2,-2,+2   -2,-1,-2,+2</t>
  </si>
  <si>
    <t xml:space="preserve">  xmt_err    XXXXXX   +2,+2, 0,+1    0,+2,+1,+2   +1,+2,+2, 0   +2,+1,+2, 0</t>
  </si>
  <si>
    <t>CSExtend_Err XXXXXX   +2,+2,-2,-1   -2,+2,-1,+2   -1,+2,+2,-2   +2,-1,+2,-2</t>
  </si>
  <si>
    <t xml:space="preserve"> CSExtend    XXXXXX   +2, 0,+2,+1   +2, 0,+1,+2   +1, 0,+2,+2   +2,+1, 0,+2</t>
  </si>
  <si>
    <t xml:space="preserve"> CSReset     XXXXXX   +2,-2,+2,-1   +2,-2,-1,+2   -1,-2,+2,+2   +2,-1,-2,+2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</si>
</sst>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0" xfId="0" quotePrefix="1" applyAlignment="1">
      <alignment horizontal="right"/>
    </xf>
    <xf numFmtId="0" fontId="1" fillId="0" borderId="0" xfId="0" applyFont="1"/>
    <xf numFmtId="0" fontId="1" fillId="3" borderId="0" xfId="0" applyFont="1" applyFill="1"/>
    <xf numFmtId="0" fontId="0" fillId="3" borderId="0" xfId="0" applyFill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D826-72E4-4CA1-B25C-F39CF611B963}">
  <dimension ref="A2:W94"/>
  <sheetViews>
    <sheetView topLeftCell="M58" workbookViewId="0">
      <selection activeCell="T71" sqref="T71:W71"/>
    </sheetView>
  </sheetViews>
  <sheetFormatPr defaultRowHeight="15" x14ac:dyDescent="0.25"/>
  <cols>
    <col min="1" max="1" width="63" bestFit="1" customWidth="1"/>
    <col min="2" max="2" width="12.28515625" bestFit="1" customWidth="1"/>
    <col min="3" max="3" width="13.42578125" bestFit="1" customWidth="1"/>
    <col min="4" max="4" width="3.140625" customWidth="1"/>
    <col min="5" max="19" width="3.140625" bestFit="1" customWidth="1"/>
    <col min="20" max="20" width="59.85546875" bestFit="1" customWidth="1"/>
    <col min="21" max="21" width="61.28515625" bestFit="1" customWidth="1"/>
    <col min="22" max="23" width="61.85546875" bestFit="1" customWidth="1"/>
  </cols>
  <sheetData>
    <row r="2" spans="1:23" x14ac:dyDescent="0.25">
      <c r="A2" s="2"/>
      <c r="B2" s="2"/>
      <c r="C2" s="2"/>
      <c r="D2" s="13" t="s">
        <v>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2" t="s">
        <v>192</v>
      </c>
      <c r="U2" s="12"/>
      <c r="V2" s="12"/>
      <c r="W2" s="12"/>
    </row>
    <row r="3" spans="1:23" x14ac:dyDescent="0.25">
      <c r="A3" s="3" t="s">
        <v>1</v>
      </c>
      <c r="B3" s="3" t="s">
        <v>2</v>
      </c>
      <c r="C3" s="3" t="s">
        <v>3</v>
      </c>
      <c r="D3" s="14" t="s">
        <v>4</v>
      </c>
      <c r="E3" s="14"/>
      <c r="F3" s="14"/>
      <c r="G3" s="14"/>
      <c r="H3" s="14" t="s">
        <v>5</v>
      </c>
      <c r="I3" s="14"/>
      <c r="J3" s="14"/>
      <c r="K3" s="14"/>
      <c r="L3" s="14" t="s">
        <v>6</v>
      </c>
      <c r="M3" s="14"/>
      <c r="N3" s="14"/>
      <c r="O3" s="14"/>
      <c r="P3" s="14" t="s">
        <v>7</v>
      </c>
      <c r="Q3" s="14"/>
      <c r="R3" s="14"/>
      <c r="S3" s="14"/>
      <c r="T3" s="12"/>
      <c r="U3" s="12"/>
      <c r="V3" s="12"/>
      <c r="W3" s="12"/>
    </row>
    <row r="4" spans="1:23" x14ac:dyDescent="0.25">
      <c r="A4" s="4" t="s">
        <v>8</v>
      </c>
      <c r="B4" s="4" t="s">
        <v>108</v>
      </c>
      <c r="C4" s="4" t="s">
        <v>109</v>
      </c>
      <c r="D4" s="11">
        <v>0</v>
      </c>
      <c r="E4" s="11" t="s">
        <v>110</v>
      </c>
      <c r="F4" s="11" t="s">
        <v>110</v>
      </c>
      <c r="G4" s="11" t="s">
        <v>110</v>
      </c>
      <c r="H4" s="4" t="s">
        <v>110</v>
      </c>
      <c r="I4" s="4" t="s">
        <v>110</v>
      </c>
      <c r="J4" s="4" t="s">
        <v>102</v>
      </c>
      <c r="K4" s="4" t="s">
        <v>102</v>
      </c>
      <c r="L4" s="4" t="s">
        <v>110</v>
      </c>
      <c r="M4" s="4" t="s">
        <v>102</v>
      </c>
      <c r="N4" s="4" t="s">
        <v>102</v>
      </c>
      <c r="O4" s="4" t="s">
        <v>110</v>
      </c>
      <c r="P4" s="4" t="s">
        <v>110</v>
      </c>
      <c r="Q4" s="4" t="s">
        <v>102</v>
      </c>
      <c r="R4" s="4" t="s">
        <v>110</v>
      </c>
      <c r="S4" s="4" t="s">
        <v>102</v>
      </c>
      <c r="T4" s="1" t="str" cm="1">
        <f t="array" ref="T4">"9'b"&amp; _xlfn.XLOOKUP(--TRIM(D$3),--Mapping!$D$2:$D$5,Mapping!$E$2:$E$5) &amp; "_" &amp; $C4 &amp; ": return " &amp; "{" &amp; _xlfn.TEXTJOIN(", ", TRUE, _xlfn.XLOOKUP(--TRIM(D4:G4), --Mapping!$A$2:$A$6, Mapping!$B$2:$B$6)) &amp; "}" &amp; "; //  " &amp; D4 &amp; ",  "  &amp; E4 &amp; ",  "  &amp; F4 &amp; ",  "  &amp; G4</f>
        <v>9'b000_000000: return {3'b000, 3'b000, 3'b000, 3'b000}; //  0,  0,  0,  0</v>
      </c>
      <c r="U4" s="1" t="str" cm="1">
        <f t="array" ref="U4">"9'b"&amp; _xlfn.XLOOKUP(--TRIM(H$3),--Mapping!$D$2:$D$5,Mapping!$E$2:$E$5) &amp; "_" &amp; $C4 &amp; ": return " &amp; "{" &amp; _xlfn.TEXTJOIN(", ", TRUE, _xlfn.XLOOKUP(--TRIM(H4:K4), --Mapping!$A$2:$A$6, Mapping!$B$2:$B$6)) &amp; "}" &amp; "; //  " &amp; H4 &amp; ",  "  &amp; I4 &amp; ",  "  &amp; J4 &amp; ",  "  &amp; K4</f>
        <v>9'b010_000000: return {3'b000, 3'b000, 3'b001, 3'b001}; //  0,  0,  +1,  +1</v>
      </c>
      <c r="V4" s="1" t="str" cm="1">
        <f t="array" ref="V4">"9'b"&amp; _xlfn.XLOOKUP(--TRIM(L$3),--Mapping!$D$2:$D$5,Mapping!$E$2:$E$5) &amp; "_" &amp; $C4 &amp; ": return " &amp; "{" &amp; _xlfn.TEXTJOIN(", ", TRUE, _xlfn.XLOOKUP(--TRIM(L4:O4), --Mapping!$A$2:$A$6, Mapping!$B$2:$B$6)) &amp; "}" &amp; "; //  " &amp; L4 &amp; ",  "  &amp; M4 &amp; ",  "  &amp; N4 &amp; ",  "  &amp; O4</f>
        <v>9'b001_000000: return {3'b000, 3'b001, 3'b001, 3'b000}; //  0,  +1,  +1,  0</v>
      </c>
      <c r="W4" s="1" t="str" cm="1">
        <f t="array" ref="W4">"9'b"&amp; _xlfn.XLOOKUP(--TRIM(P$3),--Mapping!$D$2:$D$5,Mapping!$E$2:$E$5) &amp; "_" &amp; $C4 &amp; ": return " &amp; "{" &amp; _xlfn.TEXTJOIN(", ", TRUE, _xlfn.XLOOKUP(--TRIM(P4:S4), --Mapping!$A$2:$A$6, Mapping!$B$2:$B$6)) &amp; "}" &amp; "; //  " &amp; P4 &amp; ",  "  &amp; Q4 &amp; ",  "  &amp; R4 &amp; ",  "  &amp; S4</f>
        <v>9'b011_000000: return {3'b000, 3'b001, 3'b000, 3'b001}; //  0,  +1,  0,  +1</v>
      </c>
    </row>
    <row r="5" spans="1:23" x14ac:dyDescent="0.25">
      <c r="A5" s="1" t="s">
        <v>9</v>
      </c>
      <c r="B5" s="1" t="s">
        <v>108</v>
      </c>
      <c r="C5" s="1" t="s">
        <v>111</v>
      </c>
      <c r="D5" s="1" t="s">
        <v>112</v>
      </c>
      <c r="E5" s="1" t="s">
        <v>110</v>
      </c>
      <c r="F5" s="1" t="s">
        <v>110</v>
      </c>
      <c r="G5" s="1" t="s">
        <v>110</v>
      </c>
      <c r="H5" s="1" t="s">
        <v>112</v>
      </c>
      <c r="I5" s="1" t="s">
        <v>110</v>
      </c>
      <c r="J5" s="1" t="s">
        <v>102</v>
      </c>
      <c r="K5" s="1" t="s">
        <v>102</v>
      </c>
      <c r="L5" s="1" t="s">
        <v>112</v>
      </c>
      <c r="M5" s="1" t="s">
        <v>102</v>
      </c>
      <c r="N5" s="1" t="s">
        <v>102</v>
      </c>
      <c r="O5" s="1" t="s">
        <v>110</v>
      </c>
      <c r="P5" s="1" t="s">
        <v>112</v>
      </c>
      <c r="Q5" s="1" t="s">
        <v>102</v>
      </c>
      <c r="R5" s="1" t="s">
        <v>110</v>
      </c>
      <c r="S5" s="1" t="s">
        <v>102</v>
      </c>
      <c r="T5" s="1" t="str" cm="1">
        <f t="array" ref="T5">"9'b"&amp; _xlfn.XLOOKUP(--TRIM(D$3),--Mapping!$D$2:$D$5,Mapping!$E$2:$E$5) &amp; "_" &amp; $C5 &amp; ": return " &amp; "{" &amp; _xlfn.TEXTJOIN(", ", TRUE, _xlfn.XLOOKUP(--TRIM(D5:G5), --Mapping!$A$2:$A$6, Mapping!$B$2:$B$6)) &amp; "}" &amp; "; //  " &amp; D5 &amp; ",  "  &amp; E5 &amp; ",  "  &amp; F5 &amp; ",  "  &amp; G5</f>
        <v>9'b000_000001: return {3'b110, 3'b000, 3'b000, 3'b000}; //  -2,  0,  0,  0</v>
      </c>
      <c r="U5" s="1" t="str" cm="1">
        <f t="array" ref="U5">"9'b"&amp; _xlfn.XLOOKUP(--TRIM(H$3),--Mapping!$D$2:$D$5,Mapping!$E$2:$E$5) &amp; "_" &amp; $C5 &amp; ": return " &amp; "{" &amp; _xlfn.TEXTJOIN(", ", TRUE, _xlfn.XLOOKUP(--TRIM(H5:K5), --Mapping!$A$2:$A$6, Mapping!$B$2:$B$6)) &amp; "}" &amp; "; //  " &amp; H5 &amp; ",  "  &amp; I5 &amp; ",  "  &amp; J5 &amp; ",  "  &amp; K5</f>
        <v>9'b010_000001: return {3'b110, 3'b000, 3'b001, 3'b001}; //  -2,  0,  +1,  +1</v>
      </c>
      <c r="V5" s="1" t="str" cm="1">
        <f t="array" ref="V5">"9'b"&amp; _xlfn.XLOOKUP(--TRIM(L$3),--Mapping!$D$2:$D$5,Mapping!$E$2:$E$5) &amp; "_" &amp; $C5 &amp; ": return " &amp; "{" &amp; _xlfn.TEXTJOIN(", ", TRUE, _xlfn.XLOOKUP(--TRIM(L5:O5), --Mapping!$A$2:$A$6, Mapping!$B$2:$B$6)) &amp; "}" &amp; "; //  " &amp; L5 &amp; ",  "  &amp; M5 &amp; ",  "  &amp; N5 &amp; ",  "  &amp; O5</f>
        <v>9'b001_000001: return {3'b110, 3'b001, 3'b001, 3'b000}; //  -2,  +1,  +1,  0</v>
      </c>
      <c r="W5" s="1" t="str" cm="1">
        <f t="array" ref="W5">"9'b"&amp; _xlfn.XLOOKUP(--TRIM(P$3),--Mapping!$D$2:$D$5,Mapping!$E$2:$E$5) &amp; "_" &amp; $C5 &amp; ": return " &amp; "{" &amp; _xlfn.TEXTJOIN(", ", TRUE, _xlfn.XLOOKUP(--TRIM(P5:S5), --Mapping!$A$2:$A$6, Mapping!$B$2:$B$6)) &amp; "}" &amp; "; //  " &amp; P5 &amp; ",  "  &amp; Q5 &amp; ",  "  &amp; R5 &amp; ",  "  &amp; S5</f>
        <v>9'b011_000001: return {3'b110, 3'b001, 3'b000, 3'b001}; //  -2,  +1,  0,  +1</v>
      </c>
    </row>
    <row r="6" spans="1:23" x14ac:dyDescent="0.25">
      <c r="A6" s="1" t="s">
        <v>10</v>
      </c>
      <c r="B6" s="1" t="s">
        <v>108</v>
      </c>
      <c r="C6" s="1" t="s">
        <v>113</v>
      </c>
      <c r="D6" s="1" t="s">
        <v>110</v>
      </c>
      <c r="E6" s="1" t="s">
        <v>112</v>
      </c>
      <c r="F6" s="1" t="s">
        <v>110</v>
      </c>
      <c r="G6" s="1" t="s">
        <v>110</v>
      </c>
      <c r="H6" s="1" t="s">
        <v>110</v>
      </c>
      <c r="I6" s="1" t="s">
        <v>112</v>
      </c>
      <c r="J6" s="1" t="s">
        <v>102</v>
      </c>
      <c r="K6" s="1" t="s">
        <v>102</v>
      </c>
      <c r="L6" s="1" t="s">
        <v>110</v>
      </c>
      <c r="M6" s="1" t="s">
        <v>114</v>
      </c>
      <c r="N6" s="1" t="s">
        <v>102</v>
      </c>
      <c r="O6" s="1" t="s">
        <v>110</v>
      </c>
      <c r="P6" s="1" t="s">
        <v>110</v>
      </c>
      <c r="Q6" s="1" t="s">
        <v>114</v>
      </c>
      <c r="R6" s="1" t="s">
        <v>110</v>
      </c>
      <c r="S6" s="1" t="s">
        <v>102</v>
      </c>
      <c r="T6" s="1" t="str" cm="1">
        <f t="array" ref="T6">"9'b"&amp; _xlfn.XLOOKUP(--TRIM(D$3),--Mapping!$D$2:$D$5,Mapping!$E$2:$E$5) &amp; "_" &amp; $C6 &amp; ": return " &amp; "{" &amp; _xlfn.TEXTJOIN(", ", TRUE, _xlfn.XLOOKUP(--TRIM(D6:G6), --Mapping!$A$2:$A$6, Mapping!$B$2:$B$6)) &amp; "}" &amp; "; //  " &amp; D6 &amp; ",  "  &amp; E6 &amp; ",  "  &amp; F6 &amp; ",  "  &amp; G6</f>
        <v>9'b000_000010: return {3'b000, 3'b110, 3'b000, 3'b000}; //  0,  -2,  0,  0</v>
      </c>
      <c r="U6" s="1" t="str" cm="1">
        <f t="array" ref="U6">"9'b"&amp; _xlfn.XLOOKUP(--TRIM(H$3),--Mapping!$D$2:$D$5,Mapping!$E$2:$E$5) &amp; "_" &amp; $C6 &amp; ": return " &amp; "{" &amp; _xlfn.TEXTJOIN(", ", TRUE, _xlfn.XLOOKUP(--TRIM(H6:K6), --Mapping!$A$2:$A$6, Mapping!$B$2:$B$6)) &amp; "}" &amp; "; //  " &amp; H6 &amp; ",  "  &amp; I6 &amp; ",  "  &amp; J6 &amp; ",  "  &amp; K6</f>
        <v>9'b010_000010: return {3'b000, 3'b110, 3'b001, 3'b001}; //  0,  -2,  +1,  +1</v>
      </c>
      <c r="V6" s="1" t="str" cm="1">
        <f t="array" ref="V6">"9'b"&amp; _xlfn.XLOOKUP(--TRIM(L$3),--Mapping!$D$2:$D$5,Mapping!$E$2:$E$5) &amp; "_" &amp; $C6 &amp; ": return " &amp; "{" &amp; _xlfn.TEXTJOIN(", ", TRUE, _xlfn.XLOOKUP(--TRIM(L6:O6), --Mapping!$A$2:$A$6, Mapping!$B$2:$B$6)) &amp; "}" &amp; "; //  " &amp; L6 &amp; ",  "  &amp; M6 &amp; ",  "  &amp; N6 &amp; ",  "  &amp; O6</f>
        <v>9'b001_000010: return {3'b000, 3'b111, 3'b001, 3'b000}; //  0,  -1,  +1,  0</v>
      </c>
      <c r="W6" s="1" t="str" cm="1">
        <f t="array" ref="W6">"9'b"&amp; _xlfn.XLOOKUP(--TRIM(P$3),--Mapping!$D$2:$D$5,Mapping!$E$2:$E$5) &amp; "_" &amp; $C6 &amp; ": return " &amp; "{" &amp; _xlfn.TEXTJOIN(", ", TRUE, _xlfn.XLOOKUP(--TRIM(P6:S6), --Mapping!$A$2:$A$6, Mapping!$B$2:$B$6)) &amp; "}" &amp; "; //  " &amp; P6 &amp; ",  "  &amp; Q6 &amp; ",  "  &amp; R6 &amp; ",  "  &amp; S6</f>
        <v>9'b011_000010: return {3'b000, 3'b111, 3'b000, 3'b001}; //  0,  -1,  0,  +1</v>
      </c>
    </row>
    <row r="7" spans="1:23" x14ac:dyDescent="0.25">
      <c r="A7" s="1" t="s">
        <v>11</v>
      </c>
      <c r="B7" s="1" t="s">
        <v>108</v>
      </c>
      <c r="C7" s="1" t="s">
        <v>115</v>
      </c>
      <c r="D7" s="1" t="s">
        <v>112</v>
      </c>
      <c r="E7" s="1" t="s">
        <v>112</v>
      </c>
      <c r="F7" s="1" t="s">
        <v>110</v>
      </c>
      <c r="G7" s="1" t="s">
        <v>110</v>
      </c>
      <c r="H7" s="1" t="s">
        <v>112</v>
      </c>
      <c r="I7" s="1" t="s">
        <v>112</v>
      </c>
      <c r="J7" s="1" t="s">
        <v>102</v>
      </c>
      <c r="K7" s="1" t="s">
        <v>102</v>
      </c>
      <c r="L7" s="1" t="s">
        <v>112</v>
      </c>
      <c r="M7" s="1" t="s">
        <v>114</v>
      </c>
      <c r="N7" s="1" t="s">
        <v>102</v>
      </c>
      <c r="O7" s="1" t="s">
        <v>110</v>
      </c>
      <c r="P7" s="1" t="s">
        <v>112</v>
      </c>
      <c r="Q7" s="1" t="s">
        <v>114</v>
      </c>
      <c r="R7" s="1" t="s">
        <v>110</v>
      </c>
      <c r="S7" s="1" t="s">
        <v>102</v>
      </c>
      <c r="T7" s="1" t="str" cm="1">
        <f t="array" ref="T7">"9'b"&amp; _xlfn.XLOOKUP(--TRIM(D$3),--Mapping!$D$2:$D$5,Mapping!$E$2:$E$5) &amp; "_" &amp; $C7 &amp; ": return " &amp; "{" &amp; _xlfn.TEXTJOIN(", ", TRUE, _xlfn.XLOOKUP(--TRIM(D7:G7), --Mapping!$A$2:$A$6, Mapping!$B$2:$B$6)) &amp; "}" &amp; "; //  " &amp; D7 &amp; ",  "  &amp; E7 &amp; ",  "  &amp; F7 &amp; ",  "  &amp; G7</f>
        <v>9'b000_000011: return {3'b110, 3'b110, 3'b000, 3'b000}; //  -2,  -2,  0,  0</v>
      </c>
      <c r="U7" s="1" t="str" cm="1">
        <f t="array" ref="U7">"9'b"&amp; _xlfn.XLOOKUP(--TRIM(H$3),--Mapping!$D$2:$D$5,Mapping!$E$2:$E$5) &amp; "_" &amp; $C7 &amp; ": return " &amp; "{" &amp; _xlfn.TEXTJOIN(", ", TRUE, _xlfn.XLOOKUP(--TRIM(H7:K7), --Mapping!$A$2:$A$6, Mapping!$B$2:$B$6)) &amp; "}" &amp; "; //  " &amp; H7 &amp; ",  "  &amp; I7 &amp; ",  "  &amp; J7 &amp; ",  "  &amp; K7</f>
        <v>9'b010_000011: return {3'b110, 3'b110, 3'b001, 3'b001}; //  -2,  -2,  +1,  +1</v>
      </c>
      <c r="V7" s="1" t="str" cm="1">
        <f t="array" ref="V7">"9'b"&amp; _xlfn.XLOOKUP(--TRIM(L$3),--Mapping!$D$2:$D$5,Mapping!$E$2:$E$5) &amp; "_" &amp; $C7 &amp; ": return " &amp; "{" &amp; _xlfn.TEXTJOIN(", ", TRUE, _xlfn.XLOOKUP(--TRIM(L7:O7), --Mapping!$A$2:$A$6, Mapping!$B$2:$B$6)) &amp; "}" &amp; "; //  " &amp; L7 &amp; ",  "  &amp; M7 &amp; ",  "  &amp; N7 &amp; ",  "  &amp; O7</f>
        <v>9'b001_000011: return {3'b110, 3'b111, 3'b001, 3'b000}; //  -2,  -1,  +1,  0</v>
      </c>
      <c r="W7" s="1" t="str" cm="1">
        <f t="array" ref="W7">"9'b"&amp; _xlfn.XLOOKUP(--TRIM(P$3),--Mapping!$D$2:$D$5,Mapping!$E$2:$E$5) &amp; "_" &amp; $C7 &amp; ": return " &amp; "{" &amp; _xlfn.TEXTJOIN(", ", TRUE, _xlfn.XLOOKUP(--TRIM(P7:S7), --Mapping!$A$2:$A$6, Mapping!$B$2:$B$6)) &amp; "}" &amp; "; //  " &amp; P7 &amp; ",  "  &amp; Q7 &amp; ",  "  &amp; R7 &amp; ",  "  &amp; S7</f>
        <v>9'b011_000011: return {3'b110, 3'b111, 3'b000, 3'b001}; //  -2,  -1,  0,  +1</v>
      </c>
    </row>
    <row r="8" spans="1:23" x14ac:dyDescent="0.25">
      <c r="A8" s="1" t="s">
        <v>12</v>
      </c>
      <c r="B8" s="1" t="s">
        <v>108</v>
      </c>
      <c r="C8" s="1" t="s">
        <v>116</v>
      </c>
      <c r="D8" s="1" t="s">
        <v>110</v>
      </c>
      <c r="E8" s="1" t="s">
        <v>110</v>
      </c>
      <c r="F8" s="1" t="s">
        <v>112</v>
      </c>
      <c r="G8" s="1" t="s">
        <v>110</v>
      </c>
      <c r="H8" s="1" t="s">
        <v>110</v>
      </c>
      <c r="I8" s="1" t="s">
        <v>110</v>
      </c>
      <c r="J8" s="1" t="s">
        <v>114</v>
      </c>
      <c r="K8" s="1" t="s">
        <v>102</v>
      </c>
      <c r="L8" s="1" t="s">
        <v>110</v>
      </c>
      <c r="M8" s="1" t="s">
        <v>102</v>
      </c>
      <c r="N8" s="1" t="s">
        <v>114</v>
      </c>
      <c r="O8" s="1" t="s">
        <v>110</v>
      </c>
      <c r="P8" s="1" t="s">
        <v>110</v>
      </c>
      <c r="Q8" s="1" t="s">
        <v>102</v>
      </c>
      <c r="R8" s="1" t="s">
        <v>112</v>
      </c>
      <c r="S8" s="1" t="s">
        <v>102</v>
      </c>
      <c r="T8" s="1" t="str" cm="1">
        <f t="array" ref="T8">"9'b"&amp; _xlfn.XLOOKUP(--TRIM(D$3),--Mapping!$D$2:$D$5,Mapping!$E$2:$E$5) &amp; "_" &amp; $C8 &amp; ": return " &amp; "{" &amp; _xlfn.TEXTJOIN(", ", TRUE, _xlfn.XLOOKUP(--TRIM(D8:G8), --Mapping!$A$2:$A$6, Mapping!$B$2:$B$6)) &amp; "}" &amp; "; //  " &amp; D8 &amp; ",  "  &amp; E8 &amp; ",  "  &amp; F8 &amp; ",  "  &amp; G8</f>
        <v>9'b000_000100: return {3'b000, 3'b000, 3'b110, 3'b000}; //  0,  0,  -2,  0</v>
      </c>
      <c r="U8" s="1" t="str" cm="1">
        <f t="array" ref="U8">"9'b"&amp; _xlfn.XLOOKUP(--TRIM(H$3),--Mapping!$D$2:$D$5,Mapping!$E$2:$E$5) &amp; "_" &amp; $C8 &amp; ": return " &amp; "{" &amp; _xlfn.TEXTJOIN(", ", TRUE, _xlfn.XLOOKUP(--TRIM(H8:K8), --Mapping!$A$2:$A$6, Mapping!$B$2:$B$6)) &amp; "}" &amp; "; //  " &amp; H8 &amp; ",  "  &amp; I8 &amp; ",  "  &amp; J8 &amp; ",  "  &amp; K8</f>
        <v>9'b010_000100: return {3'b000, 3'b000, 3'b111, 3'b001}; //  0,  0,  -1,  +1</v>
      </c>
      <c r="V8" s="1" t="str" cm="1">
        <f t="array" ref="V8">"9'b"&amp; _xlfn.XLOOKUP(--TRIM(L$3),--Mapping!$D$2:$D$5,Mapping!$E$2:$E$5) &amp; "_" &amp; $C8 &amp; ": return " &amp; "{" &amp; _xlfn.TEXTJOIN(", ", TRUE, _xlfn.XLOOKUP(--TRIM(L8:O8), --Mapping!$A$2:$A$6, Mapping!$B$2:$B$6)) &amp; "}" &amp; "; //  " &amp; L8 &amp; ",  "  &amp; M8 &amp; ",  "  &amp; N8 &amp; ",  "  &amp; O8</f>
        <v>9'b001_000100: return {3'b000, 3'b001, 3'b111, 3'b000}; //  0,  +1,  -1,  0</v>
      </c>
      <c r="W8" s="1" t="str" cm="1">
        <f t="array" ref="W8">"9'b"&amp; _xlfn.XLOOKUP(--TRIM(P$3),--Mapping!$D$2:$D$5,Mapping!$E$2:$E$5) &amp; "_" &amp; $C8 &amp; ": return " &amp; "{" &amp; _xlfn.TEXTJOIN(", ", TRUE, _xlfn.XLOOKUP(--TRIM(P8:S8), --Mapping!$A$2:$A$6, Mapping!$B$2:$B$6)) &amp; "}" &amp; "; //  " &amp; P8 &amp; ",  "  &amp; Q8 &amp; ",  "  &amp; R8 &amp; ",  "  &amp; S8</f>
        <v>9'b011_000100: return {3'b000, 3'b001, 3'b110, 3'b001}; //  0,  +1,  -2,  +1</v>
      </c>
    </row>
    <row r="9" spans="1:23" x14ac:dyDescent="0.25">
      <c r="A9" s="1" t="s">
        <v>13</v>
      </c>
      <c r="B9" s="1" t="s">
        <v>108</v>
      </c>
      <c r="C9" s="1" t="s">
        <v>117</v>
      </c>
      <c r="D9" s="1" t="s">
        <v>112</v>
      </c>
      <c r="E9" s="1" t="s">
        <v>110</v>
      </c>
      <c r="F9" s="1" t="s">
        <v>112</v>
      </c>
      <c r="G9" s="1" t="s">
        <v>110</v>
      </c>
      <c r="H9" s="1" t="s">
        <v>112</v>
      </c>
      <c r="I9" s="1" t="s">
        <v>110</v>
      </c>
      <c r="J9" s="1" t="s">
        <v>114</v>
      </c>
      <c r="K9" s="1" t="s">
        <v>102</v>
      </c>
      <c r="L9" s="1" t="s">
        <v>112</v>
      </c>
      <c r="M9" s="1" t="s">
        <v>102</v>
      </c>
      <c r="N9" s="1" t="s">
        <v>114</v>
      </c>
      <c r="O9" s="1" t="s">
        <v>110</v>
      </c>
      <c r="P9" s="1" t="s">
        <v>112</v>
      </c>
      <c r="Q9" s="1" t="s">
        <v>102</v>
      </c>
      <c r="R9" s="1" t="s">
        <v>112</v>
      </c>
      <c r="S9" s="1" t="s">
        <v>102</v>
      </c>
      <c r="T9" s="1" t="str" cm="1">
        <f t="array" ref="T9">"9'b"&amp; _xlfn.XLOOKUP(--TRIM(D$3),--Mapping!$D$2:$D$5,Mapping!$E$2:$E$5) &amp; "_" &amp; $C9 &amp; ": return " &amp; "{" &amp; _xlfn.TEXTJOIN(", ", TRUE, _xlfn.XLOOKUP(--TRIM(D9:G9), --Mapping!$A$2:$A$6, Mapping!$B$2:$B$6)) &amp; "}" &amp; "; //  " &amp; D9 &amp; ",  "  &amp; E9 &amp; ",  "  &amp; F9 &amp; ",  "  &amp; G9</f>
        <v>9'b000_000101: return {3'b110, 3'b000, 3'b110, 3'b000}; //  -2,  0,  -2,  0</v>
      </c>
      <c r="U9" s="1" t="str" cm="1">
        <f t="array" ref="U9">"9'b"&amp; _xlfn.XLOOKUP(--TRIM(H$3),--Mapping!$D$2:$D$5,Mapping!$E$2:$E$5) &amp; "_" &amp; $C9 &amp; ": return " &amp; "{" &amp; _xlfn.TEXTJOIN(", ", TRUE, _xlfn.XLOOKUP(--TRIM(H9:K9), --Mapping!$A$2:$A$6, Mapping!$B$2:$B$6)) &amp; "}" &amp; "; //  " &amp; H9 &amp; ",  "  &amp; I9 &amp; ",  "  &amp; J9 &amp; ",  "  &amp; K9</f>
        <v>9'b010_000101: return {3'b110, 3'b000, 3'b111, 3'b001}; //  -2,  0,  -1,  +1</v>
      </c>
      <c r="V9" s="1" t="str" cm="1">
        <f t="array" ref="V9">"9'b"&amp; _xlfn.XLOOKUP(--TRIM(L$3),--Mapping!$D$2:$D$5,Mapping!$E$2:$E$5) &amp; "_" &amp; $C9 &amp; ": return " &amp; "{" &amp; _xlfn.TEXTJOIN(", ", TRUE, _xlfn.XLOOKUP(--TRIM(L9:O9), --Mapping!$A$2:$A$6, Mapping!$B$2:$B$6)) &amp; "}" &amp; "; //  " &amp; L9 &amp; ",  "  &amp; M9 &amp; ",  "  &amp; N9 &amp; ",  "  &amp; O9</f>
        <v>9'b001_000101: return {3'b110, 3'b001, 3'b111, 3'b000}; //  -2,  +1,  -1,  0</v>
      </c>
      <c r="W9" s="1" t="str" cm="1">
        <f t="array" ref="W9">"9'b"&amp; _xlfn.XLOOKUP(--TRIM(P$3),--Mapping!$D$2:$D$5,Mapping!$E$2:$E$5) &amp; "_" &amp; $C9 &amp; ": return " &amp; "{" &amp; _xlfn.TEXTJOIN(", ", TRUE, _xlfn.XLOOKUP(--TRIM(P9:S9), --Mapping!$A$2:$A$6, Mapping!$B$2:$B$6)) &amp; "}" &amp; "; //  " &amp; P9 &amp; ",  "  &amp; Q9 &amp; ",  "  &amp; R9 &amp; ",  "  &amp; S9</f>
        <v>9'b011_000101: return {3'b110, 3'b001, 3'b110, 3'b001}; //  -2,  +1,  -2,  +1</v>
      </c>
    </row>
    <row r="10" spans="1:23" x14ac:dyDescent="0.25">
      <c r="A10" s="1" t="s">
        <v>14</v>
      </c>
      <c r="B10" s="1" t="s">
        <v>108</v>
      </c>
      <c r="C10" s="1" t="s">
        <v>118</v>
      </c>
      <c r="D10" s="1" t="s">
        <v>110</v>
      </c>
      <c r="E10" s="1" t="s">
        <v>112</v>
      </c>
      <c r="F10" s="1" t="s">
        <v>112</v>
      </c>
      <c r="G10" s="1" t="s">
        <v>110</v>
      </c>
      <c r="H10" s="1" t="s">
        <v>110</v>
      </c>
      <c r="I10" s="1" t="s">
        <v>112</v>
      </c>
      <c r="J10" s="1" t="s">
        <v>114</v>
      </c>
      <c r="K10" s="1" t="s">
        <v>102</v>
      </c>
      <c r="L10" s="1" t="s">
        <v>110</v>
      </c>
      <c r="M10" s="1" t="s">
        <v>114</v>
      </c>
      <c r="N10" s="1" t="s">
        <v>114</v>
      </c>
      <c r="O10" s="1" t="s">
        <v>110</v>
      </c>
      <c r="P10" s="1" t="s">
        <v>110</v>
      </c>
      <c r="Q10" s="1" t="s">
        <v>114</v>
      </c>
      <c r="R10" s="1" t="s">
        <v>112</v>
      </c>
      <c r="S10" s="1" t="s">
        <v>102</v>
      </c>
      <c r="T10" s="1" t="str" cm="1">
        <f t="array" ref="T10">"9'b"&amp; _xlfn.XLOOKUP(--TRIM(D$3),--Mapping!$D$2:$D$5,Mapping!$E$2:$E$5) &amp; "_" &amp; $C10 &amp; ": return " &amp; "{" &amp; _xlfn.TEXTJOIN(", ", TRUE, _xlfn.XLOOKUP(--TRIM(D10:G10), --Mapping!$A$2:$A$6, Mapping!$B$2:$B$6)) &amp; "}" &amp; "; //  " &amp; D10 &amp; ",  "  &amp; E10 &amp; ",  "  &amp; F10 &amp; ",  "  &amp; G10</f>
        <v>9'b000_000110: return {3'b000, 3'b110, 3'b110, 3'b000}; //  0,  -2,  -2,  0</v>
      </c>
      <c r="U10" s="1" t="str" cm="1">
        <f t="array" ref="U10">"9'b"&amp; _xlfn.XLOOKUP(--TRIM(H$3),--Mapping!$D$2:$D$5,Mapping!$E$2:$E$5) &amp; "_" &amp; $C10 &amp; ": return " &amp; "{" &amp; _xlfn.TEXTJOIN(", ", TRUE, _xlfn.XLOOKUP(--TRIM(H10:K10), --Mapping!$A$2:$A$6, Mapping!$B$2:$B$6)) &amp; "}" &amp; "; //  " &amp; H10 &amp; ",  "  &amp; I10 &amp; ",  "  &amp; J10 &amp; ",  "  &amp; K10</f>
        <v>9'b010_000110: return {3'b000, 3'b110, 3'b111, 3'b001}; //  0,  -2,  -1,  +1</v>
      </c>
      <c r="V10" s="1" t="str" cm="1">
        <f t="array" ref="V10">"9'b"&amp; _xlfn.XLOOKUP(--TRIM(L$3),--Mapping!$D$2:$D$5,Mapping!$E$2:$E$5) &amp; "_" &amp; $C10 &amp; ": return " &amp; "{" &amp; _xlfn.TEXTJOIN(", ", TRUE, _xlfn.XLOOKUP(--TRIM(L10:O10), --Mapping!$A$2:$A$6, Mapping!$B$2:$B$6)) &amp; "}" &amp; "; //  " &amp; L10 &amp; ",  "  &amp; M10 &amp; ",  "  &amp; N10 &amp; ",  "  &amp; O10</f>
        <v>9'b001_000110: return {3'b000, 3'b111, 3'b111, 3'b000}; //  0,  -1,  -1,  0</v>
      </c>
      <c r="W10" s="1" t="str" cm="1">
        <f t="array" ref="W10">"9'b"&amp; _xlfn.XLOOKUP(--TRIM(P$3),--Mapping!$D$2:$D$5,Mapping!$E$2:$E$5) &amp; "_" &amp; $C10 &amp; ": return " &amp; "{" &amp; _xlfn.TEXTJOIN(", ", TRUE, _xlfn.XLOOKUP(--TRIM(P10:S10), --Mapping!$A$2:$A$6, Mapping!$B$2:$B$6)) &amp; "}" &amp; "; //  " &amp; P10 &amp; ",  "  &amp; Q10 &amp; ",  "  &amp; R10 &amp; ",  "  &amp; S10</f>
        <v>9'b011_000110: return {3'b000, 3'b111, 3'b110, 3'b001}; //  0,  -1,  -2,  +1</v>
      </c>
    </row>
    <row r="11" spans="1:23" x14ac:dyDescent="0.25">
      <c r="A11" s="1" t="s">
        <v>15</v>
      </c>
      <c r="B11" s="1" t="s">
        <v>108</v>
      </c>
      <c r="C11" s="1" t="s">
        <v>119</v>
      </c>
      <c r="D11" s="1" t="s">
        <v>112</v>
      </c>
      <c r="E11" s="1" t="s">
        <v>112</v>
      </c>
      <c r="F11" s="1" t="s">
        <v>112</v>
      </c>
      <c r="G11" s="1" t="s">
        <v>110</v>
      </c>
      <c r="H11" s="1" t="s">
        <v>112</v>
      </c>
      <c r="I11" s="1" t="s">
        <v>112</v>
      </c>
      <c r="J11" s="1" t="s">
        <v>114</v>
      </c>
      <c r="K11" s="1" t="s">
        <v>102</v>
      </c>
      <c r="L11" s="1" t="s">
        <v>112</v>
      </c>
      <c r="M11" s="1" t="s">
        <v>114</v>
      </c>
      <c r="N11" s="1" t="s">
        <v>114</v>
      </c>
      <c r="O11" s="1" t="s">
        <v>110</v>
      </c>
      <c r="P11" s="1" t="s">
        <v>112</v>
      </c>
      <c r="Q11" s="1" t="s">
        <v>114</v>
      </c>
      <c r="R11" s="1" t="s">
        <v>112</v>
      </c>
      <c r="S11" s="1" t="s">
        <v>102</v>
      </c>
      <c r="T11" s="1" t="str" cm="1">
        <f t="array" ref="T11">"9'b"&amp; _xlfn.XLOOKUP(--TRIM(D$3),--Mapping!$D$2:$D$5,Mapping!$E$2:$E$5) &amp; "_" &amp; $C11 &amp; ": return " &amp; "{" &amp; _xlfn.TEXTJOIN(", ", TRUE, _xlfn.XLOOKUP(--TRIM(D11:G11), --Mapping!$A$2:$A$6, Mapping!$B$2:$B$6)) &amp; "}" &amp; "; //  " &amp; D11 &amp; ",  "  &amp; E11 &amp; ",  "  &amp; F11 &amp; ",  "  &amp; G11</f>
        <v>9'b000_000111: return {3'b110, 3'b110, 3'b110, 3'b000}; //  -2,  -2,  -2,  0</v>
      </c>
      <c r="U11" s="1" t="str" cm="1">
        <f t="array" ref="U11">"9'b"&amp; _xlfn.XLOOKUP(--TRIM(H$3),--Mapping!$D$2:$D$5,Mapping!$E$2:$E$5) &amp; "_" &amp; $C11 &amp; ": return " &amp; "{" &amp; _xlfn.TEXTJOIN(", ", TRUE, _xlfn.XLOOKUP(--TRIM(H11:K11), --Mapping!$A$2:$A$6, Mapping!$B$2:$B$6)) &amp; "}" &amp; "; //  " &amp; H11 &amp; ",  "  &amp; I11 &amp; ",  "  &amp; J11 &amp; ",  "  &amp; K11</f>
        <v>9'b010_000111: return {3'b110, 3'b110, 3'b111, 3'b001}; //  -2,  -2,  -1,  +1</v>
      </c>
      <c r="V11" s="1" t="str" cm="1">
        <f t="array" ref="V11">"9'b"&amp; _xlfn.XLOOKUP(--TRIM(L$3),--Mapping!$D$2:$D$5,Mapping!$E$2:$E$5) &amp; "_" &amp; $C11 &amp; ": return " &amp; "{" &amp; _xlfn.TEXTJOIN(", ", TRUE, _xlfn.XLOOKUP(--TRIM(L11:O11), --Mapping!$A$2:$A$6, Mapping!$B$2:$B$6)) &amp; "}" &amp; "; //  " &amp; L11 &amp; ",  "  &amp; M11 &amp; ",  "  &amp; N11 &amp; ",  "  &amp; O11</f>
        <v>9'b001_000111: return {3'b110, 3'b111, 3'b111, 3'b000}; //  -2,  -1,  -1,  0</v>
      </c>
      <c r="W11" s="1" t="str" cm="1">
        <f t="array" ref="W11">"9'b"&amp; _xlfn.XLOOKUP(--TRIM(P$3),--Mapping!$D$2:$D$5,Mapping!$E$2:$E$5) &amp; "_" &amp; $C11 &amp; ": return " &amp; "{" &amp; _xlfn.TEXTJOIN(", ", TRUE, _xlfn.XLOOKUP(--TRIM(P11:S11), --Mapping!$A$2:$A$6, Mapping!$B$2:$B$6)) &amp; "}" &amp; "; //  " &amp; P11 &amp; ",  "  &amp; Q11 &amp; ",  "  &amp; R11 &amp; ",  "  &amp; S11</f>
        <v>9'b011_000111: return {3'b110, 3'b111, 3'b110, 3'b001}; //  -2,  -1,  -2,  +1</v>
      </c>
    </row>
    <row r="12" spans="1:23" x14ac:dyDescent="0.25">
      <c r="A12" s="1" t="s">
        <v>16</v>
      </c>
      <c r="B12" s="1" t="s">
        <v>108</v>
      </c>
      <c r="C12" s="1" t="s">
        <v>120</v>
      </c>
      <c r="D12" s="1" t="s">
        <v>110</v>
      </c>
      <c r="E12" s="1" t="s">
        <v>110</v>
      </c>
      <c r="F12" s="1" t="s">
        <v>110</v>
      </c>
      <c r="G12" s="1" t="s">
        <v>112</v>
      </c>
      <c r="H12" s="1" t="s">
        <v>110</v>
      </c>
      <c r="I12" s="1" t="s">
        <v>110</v>
      </c>
      <c r="J12" s="1" t="s">
        <v>102</v>
      </c>
      <c r="K12" s="1" t="s">
        <v>114</v>
      </c>
      <c r="L12" s="1" t="s">
        <v>110</v>
      </c>
      <c r="M12" s="1" t="s">
        <v>102</v>
      </c>
      <c r="N12" s="1" t="s">
        <v>102</v>
      </c>
      <c r="O12" s="1" t="s">
        <v>112</v>
      </c>
      <c r="P12" s="1" t="s">
        <v>110</v>
      </c>
      <c r="Q12" s="1" t="s">
        <v>102</v>
      </c>
      <c r="R12" s="1" t="s">
        <v>110</v>
      </c>
      <c r="S12" s="1" t="s">
        <v>114</v>
      </c>
      <c r="T12" s="1" t="str" cm="1">
        <f t="array" ref="T12">"9'b"&amp; _xlfn.XLOOKUP(--TRIM(D$3),--Mapping!$D$2:$D$5,Mapping!$E$2:$E$5) &amp; "_" &amp; $C12 &amp; ": return " &amp; "{" &amp; _xlfn.TEXTJOIN(", ", TRUE, _xlfn.XLOOKUP(--TRIM(D12:G12), --Mapping!$A$2:$A$6, Mapping!$B$2:$B$6)) &amp; "}" &amp; "; //  " &amp; D12 &amp; ",  "  &amp; E12 &amp; ",  "  &amp; F12 &amp; ",  "  &amp; G12</f>
        <v>9'b000_001000: return {3'b000, 3'b000, 3'b000, 3'b110}; //  0,  0,  0,  -2</v>
      </c>
      <c r="U12" s="1" t="str" cm="1">
        <f t="array" ref="U12">"9'b"&amp; _xlfn.XLOOKUP(--TRIM(H$3),--Mapping!$D$2:$D$5,Mapping!$E$2:$E$5) &amp; "_" &amp; $C12 &amp; ": return " &amp; "{" &amp; _xlfn.TEXTJOIN(", ", TRUE, _xlfn.XLOOKUP(--TRIM(H12:K12), --Mapping!$A$2:$A$6, Mapping!$B$2:$B$6)) &amp; "}" &amp; "; //  " &amp; H12 &amp; ",  "  &amp; I12 &amp; ",  "  &amp; J12 &amp; ",  "  &amp; K12</f>
        <v>9'b010_001000: return {3'b000, 3'b000, 3'b001, 3'b111}; //  0,  0,  +1,  -1</v>
      </c>
      <c r="V12" s="1" t="str" cm="1">
        <f t="array" ref="V12">"9'b"&amp; _xlfn.XLOOKUP(--TRIM(L$3),--Mapping!$D$2:$D$5,Mapping!$E$2:$E$5) &amp; "_" &amp; $C12 &amp; ": return " &amp; "{" &amp; _xlfn.TEXTJOIN(", ", TRUE, _xlfn.XLOOKUP(--TRIM(L12:O12), --Mapping!$A$2:$A$6, Mapping!$B$2:$B$6)) &amp; "}" &amp; "; //  " &amp; L12 &amp; ",  "  &amp; M12 &amp; ",  "  &amp; N12 &amp; ",  "  &amp; O12</f>
        <v>9'b001_001000: return {3'b000, 3'b001, 3'b001, 3'b110}; //  0,  +1,  +1,  -2</v>
      </c>
      <c r="W12" s="1" t="str" cm="1">
        <f t="array" ref="W12">"9'b"&amp; _xlfn.XLOOKUP(--TRIM(P$3),--Mapping!$D$2:$D$5,Mapping!$E$2:$E$5) &amp; "_" &amp; $C12 &amp; ": return " &amp; "{" &amp; _xlfn.TEXTJOIN(", ", TRUE, _xlfn.XLOOKUP(--TRIM(P12:S12), --Mapping!$A$2:$A$6, Mapping!$B$2:$B$6)) &amp; "}" &amp; "; //  " &amp; P12 &amp; ",  "  &amp; Q12 &amp; ",  "  &amp; R12 &amp; ",  "  &amp; S12</f>
        <v>9'b011_001000: return {3'b000, 3'b001, 3'b000, 3'b111}; //  0,  +1,  0,  -1</v>
      </c>
    </row>
    <row r="13" spans="1:23" x14ac:dyDescent="0.25">
      <c r="A13" s="1" t="s">
        <v>17</v>
      </c>
      <c r="B13" s="1" t="s">
        <v>108</v>
      </c>
      <c r="C13" s="1" t="s">
        <v>121</v>
      </c>
      <c r="D13" s="1" t="s">
        <v>112</v>
      </c>
      <c r="E13" s="1" t="s">
        <v>110</v>
      </c>
      <c r="F13" s="1" t="s">
        <v>110</v>
      </c>
      <c r="G13" s="1" t="s">
        <v>112</v>
      </c>
      <c r="H13" s="1" t="s">
        <v>112</v>
      </c>
      <c r="I13" s="1" t="s">
        <v>110</v>
      </c>
      <c r="J13" s="1" t="s">
        <v>102</v>
      </c>
      <c r="K13" s="1" t="s">
        <v>114</v>
      </c>
      <c r="L13" s="1" t="s">
        <v>112</v>
      </c>
      <c r="M13" s="1" t="s">
        <v>102</v>
      </c>
      <c r="N13" s="1" t="s">
        <v>102</v>
      </c>
      <c r="O13" s="1" t="s">
        <v>112</v>
      </c>
      <c r="P13" s="1" t="s">
        <v>112</v>
      </c>
      <c r="Q13" s="1" t="s">
        <v>102</v>
      </c>
      <c r="R13" s="1" t="s">
        <v>110</v>
      </c>
      <c r="S13" s="1" t="s">
        <v>114</v>
      </c>
      <c r="T13" s="1" t="str" cm="1">
        <f t="array" ref="T13">"9'b"&amp; _xlfn.XLOOKUP(--TRIM(D$3),--Mapping!$D$2:$D$5,Mapping!$E$2:$E$5) &amp; "_" &amp; $C13 &amp; ": return " &amp; "{" &amp; _xlfn.TEXTJOIN(", ", TRUE, _xlfn.XLOOKUP(--TRIM(D13:G13), --Mapping!$A$2:$A$6, Mapping!$B$2:$B$6)) &amp; "}" &amp; "; //  " &amp; D13 &amp; ",  "  &amp; E13 &amp; ",  "  &amp; F13 &amp; ",  "  &amp; G13</f>
        <v>9'b000_001001: return {3'b110, 3'b000, 3'b000, 3'b110}; //  -2,  0,  0,  -2</v>
      </c>
      <c r="U13" s="1" t="str" cm="1">
        <f t="array" ref="U13">"9'b"&amp; _xlfn.XLOOKUP(--TRIM(H$3),--Mapping!$D$2:$D$5,Mapping!$E$2:$E$5) &amp; "_" &amp; $C13 &amp; ": return " &amp; "{" &amp; _xlfn.TEXTJOIN(", ", TRUE, _xlfn.XLOOKUP(--TRIM(H13:K13), --Mapping!$A$2:$A$6, Mapping!$B$2:$B$6)) &amp; "}" &amp; "; //  " &amp; H13 &amp; ",  "  &amp; I13 &amp; ",  "  &amp; J13 &amp; ",  "  &amp; K13</f>
        <v>9'b010_001001: return {3'b110, 3'b000, 3'b001, 3'b111}; //  -2,  0,  +1,  -1</v>
      </c>
      <c r="V13" s="1" t="str" cm="1">
        <f t="array" ref="V13">"9'b"&amp; _xlfn.XLOOKUP(--TRIM(L$3),--Mapping!$D$2:$D$5,Mapping!$E$2:$E$5) &amp; "_" &amp; $C13 &amp; ": return " &amp; "{" &amp; _xlfn.TEXTJOIN(", ", TRUE, _xlfn.XLOOKUP(--TRIM(L13:O13), --Mapping!$A$2:$A$6, Mapping!$B$2:$B$6)) &amp; "}" &amp; "; //  " &amp; L13 &amp; ",  "  &amp; M13 &amp; ",  "  &amp; N13 &amp; ",  "  &amp; O13</f>
        <v>9'b001_001001: return {3'b110, 3'b001, 3'b001, 3'b110}; //  -2,  +1,  +1,  -2</v>
      </c>
      <c r="W13" s="1" t="str" cm="1">
        <f t="array" ref="W13">"9'b"&amp; _xlfn.XLOOKUP(--TRIM(P$3),--Mapping!$D$2:$D$5,Mapping!$E$2:$E$5) &amp; "_" &amp; $C13 &amp; ": return " &amp; "{" &amp; _xlfn.TEXTJOIN(", ", TRUE, _xlfn.XLOOKUP(--TRIM(P13:S13), --Mapping!$A$2:$A$6, Mapping!$B$2:$B$6)) &amp; "}" &amp; "; //  " &amp; P13 &amp; ",  "  &amp; Q13 &amp; ",  "  &amp; R13 &amp; ",  "  &amp; S13</f>
        <v>9'b011_001001: return {3'b110, 3'b001, 3'b000, 3'b111}; //  -2,  +1,  0,  -1</v>
      </c>
    </row>
    <row r="14" spans="1:23" x14ac:dyDescent="0.25">
      <c r="A14" s="1" t="s">
        <v>18</v>
      </c>
      <c r="B14" s="1" t="s">
        <v>108</v>
      </c>
      <c r="C14" s="1" t="s">
        <v>122</v>
      </c>
      <c r="D14" s="1" t="s">
        <v>110</v>
      </c>
      <c r="E14" s="1" t="s">
        <v>112</v>
      </c>
      <c r="F14" s="1" t="s">
        <v>110</v>
      </c>
      <c r="G14" s="1" t="s">
        <v>112</v>
      </c>
      <c r="H14" s="1" t="s">
        <v>110</v>
      </c>
      <c r="I14" s="1" t="s">
        <v>112</v>
      </c>
      <c r="J14" s="1" t="s">
        <v>102</v>
      </c>
      <c r="K14" s="1" t="s">
        <v>114</v>
      </c>
      <c r="L14" s="1" t="s">
        <v>110</v>
      </c>
      <c r="M14" s="1" t="s">
        <v>114</v>
      </c>
      <c r="N14" s="1" t="s">
        <v>102</v>
      </c>
      <c r="O14" s="1" t="s">
        <v>112</v>
      </c>
      <c r="P14" s="1" t="s">
        <v>110</v>
      </c>
      <c r="Q14" s="1" t="s">
        <v>114</v>
      </c>
      <c r="R14" s="1" t="s">
        <v>110</v>
      </c>
      <c r="S14" s="1" t="s">
        <v>114</v>
      </c>
      <c r="T14" s="1" t="str" cm="1">
        <f t="array" ref="T14">"9'b"&amp; _xlfn.XLOOKUP(--TRIM(D$3),--Mapping!$D$2:$D$5,Mapping!$E$2:$E$5) &amp; "_" &amp; $C14 &amp; ": return " &amp; "{" &amp; _xlfn.TEXTJOIN(", ", TRUE, _xlfn.XLOOKUP(--TRIM(D14:G14), --Mapping!$A$2:$A$6, Mapping!$B$2:$B$6)) &amp; "}" &amp; "; //  " &amp; D14 &amp; ",  "  &amp; E14 &amp; ",  "  &amp; F14 &amp; ",  "  &amp; G14</f>
        <v>9'b000_001010: return {3'b000, 3'b110, 3'b000, 3'b110}; //  0,  -2,  0,  -2</v>
      </c>
      <c r="U14" s="1" t="str" cm="1">
        <f t="array" ref="U14">"9'b"&amp; _xlfn.XLOOKUP(--TRIM(H$3),--Mapping!$D$2:$D$5,Mapping!$E$2:$E$5) &amp; "_" &amp; $C14 &amp; ": return " &amp; "{" &amp; _xlfn.TEXTJOIN(", ", TRUE, _xlfn.XLOOKUP(--TRIM(H14:K14), --Mapping!$A$2:$A$6, Mapping!$B$2:$B$6)) &amp; "}" &amp; "; //  " &amp; H14 &amp; ",  "  &amp; I14 &amp; ",  "  &amp; J14 &amp; ",  "  &amp; K14</f>
        <v>9'b010_001010: return {3'b000, 3'b110, 3'b001, 3'b111}; //  0,  -2,  +1,  -1</v>
      </c>
      <c r="V14" s="1" t="str" cm="1">
        <f t="array" ref="V14">"9'b"&amp; _xlfn.XLOOKUP(--TRIM(L$3),--Mapping!$D$2:$D$5,Mapping!$E$2:$E$5) &amp; "_" &amp; $C14 &amp; ": return " &amp; "{" &amp; _xlfn.TEXTJOIN(", ", TRUE, _xlfn.XLOOKUP(--TRIM(L14:O14), --Mapping!$A$2:$A$6, Mapping!$B$2:$B$6)) &amp; "}" &amp; "; //  " &amp; L14 &amp; ",  "  &amp; M14 &amp; ",  "  &amp; N14 &amp; ",  "  &amp; O14</f>
        <v>9'b001_001010: return {3'b000, 3'b111, 3'b001, 3'b110}; //  0,  -1,  +1,  -2</v>
      </c>
      <c r="W14" s="1" t="str" cm="1">
        <f t="array" ref="W14">"9'b"&amp; _xlfn.XLOOKUP(--TRIM(P$3),--Mapping!$D$2:$D$5,Mapping!$E$2:$E$5) &amp; "_" &amp; $C14 &amp; ": return " &amp; "{" &amp; _xlfn.TEXTJOIN(", ", TRUE, _xlfn.XLOOKUP(--TRIM(P14:S14), --Mapping!$A$2:$A$6, Mapping!$B$2:$B$6)) &amp; "}" &amp; "; //  " &amp; P14 &amp; ",  "  &amp; Q14 &amp; ",  "  &amp; R14 &amp; ",  "  &amp; S14</f>
        <v>9'b011_001010: return {3'b000, 3'b111, 3'b000, 3'b111}; //  0,  -1,  0,  -1</v>
      </c>
    </row>
    <row r="15" spans="1:23" x14ac:dyDescent="0.25">
      <c r="A15" s="1" t="s">
        <v>19</v>
      </c>
      <c r="B15" s="1" t="s">
        <v>108</v>
      </c>
      <c r="C15" s="1" t="s">
        <v>123</v>
      </c>
      <c r="D15" s="1" t="s">
        <v>112</v>
      </c>
      <c r="E15" s="1" t="s">
        <v>112</v>
      </c>
      <c r="F15" s="1" t="s">
        <v>110</v>
      </c>
      <c r="G15" s="1" t="s">
        <v>112</v>
      </c>
      <c r="H15" s="1" t="s">
        <v>112</v>
      </c>
      <c r="I15" s="1" t="s">
        <v>112</v>
      </c>
      <c r="J15" s="1" t="s">
        <v>102</v>
      </c>
      <c r="K15" s="1" t="s">
        <v>114</v>
      </c>
      <c r="L15" s="1" t="s">
        <v>112</v>
      </c>
      <c r="M15" s="1" t="s">
        <v>114</v>
      </c>
      <c r="N15" s="1" t="s">
        <v>102</v>
      </c>
      <c r="O15" s="1" t="s">
        <v>112</v>
      </c>
      <c r="P15" s="1" t="s">
        <v>112</v>
      </c>
      <c r="Q15" s="1" t="s">
        <v>114</v>
      </c>
      <c r="R15" s="1" t="s">
        <v>110</v>
      </c>
      <c r="S15" s="1" t="s">
        <v>114</v>
      </c>
      <c r="T15" s="1" t="str" cm="1">
        <f t="array" ref="T15">"9'b"&amp; _xlfn.XLOOKUP(--TRIM(D$3),--Mapping!$D$2:$D$5,Mapping!$E$2:$E$5) &amp; "_" &amp; $C15 &amp; ": return " &amp; "{" &amp; _xlfn.TEXTJOIN(", ", TRUE, _xlfn.XLOOKUP(--TRIM(D15:G15), --Mapping!$A$2:$A$6, Mapping!$B$2:$B$6)) &amp; "}" &amp; "; //  " &amp; D15 &amp; ",  "  &amp; E15 &amp; ",  "  &amp; F15 &amp; ",  "  &amp; G15</f>
        <v>9'b000_001011: return {3'b110, 3'b110, 3'b000, 3'b110}; //  -2,  -2,  0,  -2</v>
      </c>
      <c r="U15" s="1" t="str" cm="1">
        <f t="array" ref="U15">"9'b"&amp; _xlfn.XLOOKUP(--TRIM(H$3),--Mapping!$D$2:$D$5,Mapping!$E$2:$E$5) &amp; "_" &amp; $C15 &amp; ": return " &amp; "{" &amp; _xlfn.TEXTJOIN(", ", TRUE, _xlfn.XLOOKUP(--TRIM(H15:K15), --Mapping!$A$2:$A$6, Mapping!$B$2:$B$6)) &amp; "}" &amp; "; //  " &amp; H15 &amp; ",  "  &amp; I15 &amp; ",  "  &amp; J15 &amp; ",  "  &amp; K15</f>
        <v>9'b010_001011: return {3'b110, 3'b110, 3'b001, 3'b111}; //  -2,  -2,  +1,  -1</v>
      </c>
      <c r="V15" s="1" t="str" cm="1">
        <f t="array" ref="V15">"9'b"&amp; _xlfn.XLOOKUP(--TRIM(L$3),--Mapping!$D$2:$D$5,Mapping!$E$2:$E$5) &amp; "_" &amp; $C15 &amp; ": return " &amp; "{" &amp; _xlfn.TEXTJOIN(", ", TRUE, _xlfn.XLOOKUP(--TRIM(L15:O15), --Mapping!$A$2:$A$6, Mapping!$B$2:$B$6)) &amp; "}" &amp; "; //  " &amp; L15 &amp; ",  "  &amp; M15 &amp; ",  "  &amp; N15 &amp; ",  "  &amp; O15</f>
        <v>9'b001_001011: return {3'b110, 3'b111, 3'b001, 3'b110}; //  -2,  -1,  +1,  -2</v>
      </c>
      <c r="W15" s="1" t="str" cm="1">
        <f t="array" ref="W15">"9'b"&amp; _xlfn.XLOOKUP(--TRIM(P$3),--Mapping!$D$2:$D$5,Mapping!$E$2:$E$5) &amp; "_" &amp; $C15 &amp; ": return " &amp; "{" &amp; _xlfn.TEXTJOIN(", ", TRUE, _xlfn.XLOOKUP(--TRIM(P15:S15), --Mapping!$A$2:$A$6, Mapping!$B$2:$B$6)) &amp; "}" &amp; "; //  " &amp; P15 &amp; ",  "  &amp; Q15 &amp; ",  "  &amp; R15 &amp; ",  "  &amp; S15</f>
        <v>9'b011_001011: return {3'b110, 3'b111, 3'b000, 3'b111}; //  -2,  -1,  0,  -1</v>
      </c>
    </row>
    <row r="16" spans="1:23" x14ac:dyDescent="0.25">
      <c r="A16" s="1" t="s">
        <v>20</v>
      </c>
      <c r="B16" s="1" t="s">
        <v>108</v>
      </c>
      <c r="C16" s="1" t="s">
        <v>124</v>
      </c>
      <c r="D16" s="1" t="s">
        <v>110</v>
      </c>
      <c r="E16" s="1" t="s">
        <v>110</v>
      </c>
      <c r="F16" s="1" t="s">
        <v>112</v>
      </c>
      <c r="G16" s="1" t="s">
        <v>112</v>
      </c>
      <c r="H16" s="1" t="s">
        <v>110</v>
      </c>
      <c r="I16" s="1" t="s">
        <v>110</v>
      </c>
      <c r="J16" s="1" t="s">
        <v>114</v>
      </c>
      <c r="K16" s="1" t="s">
        <v>114</v>
      </c>
      <c r="L16" s="1" t="s">
        <v>110</v>
      </c>
      <c r="M16" s="1" t="s">
        <v>102</v>
      </c>
      <c r="N16" s="1" t="s">
        <v>114</v>
      </c>
      <c r="O16" s="1" t="s">
        <v>112</v>
      </c>
      <c r="P16" s="1" t="s">
        <v>110</v>
      </c>
      <c r="Q16" s="1" t="s">
        <v>102</v>
      </c>
      <c r="R16" s="1" t="s">
        <v>112</v>
      </c>
      <c r="S16" s="1" t="s">
        <v>114</v>
      </c>
      <c r="T16" s="1" t="str" cm="1">
        <f t="array" ref="T16">"9'b"&amp; _xlfn.XLOOKUP(--TRIM(D$3),--Mapping!$D$2:$D$5,Mapping!$E$2:$E$5) &amp; "_" &amp; $C16 &amp; ": return " &amp; "{" &amp; _xlfn.TEXTJOIN(", ", TRUE, _xlfn.XLOOKUP(--TRIM(D16:G16), --Mapping!$A$2:$A$6, Mapping!$B$2:$B$6)) &amp; "}" &amp; "; //  " &amp; D16 &amp; ",  "  &amp; E16 &amp; ",  "  &amp; F16 &amp; ",  "  &amp; G16</f>
        <v>9'b000_001100: return {3'b000, 3'b000, 3'b110, 3'b110}; //  0,  0,  -2,  -2</v>
      </c>
      <c r="U16" s="1" t="str" cm="1">
        <f t="array" ref="U16">"9'b"&amp; _xlfn.XLOOKUP(--TRIM(H$3),--Mapping!$D$2:$D$5,Mapping!$E$2:$E$5) &amp; "_" &amp; $C16 &amp; ": return " &amp; "{" &amp; _xlfn.TEXTJOIN(", ", TRUE, _xlfn.XLOOKUP(--TRIM(H16:K16), --Mapping!$A$2:$A$6, Mapping!$B$2:$B$6)) &amp; "}" &amp; "; //  " &amp; H16 &amp; ",  "  &amp; I16 &amp; ",  "  &amp; J16 &amp; ",  "  &amp; K16</f>
        <v>9'b010_001100: return {3'b000, 3'b000, 3'b111, 3'b111}; //  0,  0,  -1,  -1</v>
      </c>
      <c r="V16" s="1" t="str" cm="1">
        <f t="array" ref="V16">"9'b"&amp; _xlfn.XLOOKUP(--TRIM(L$3),--Mapping!$D$2:$D$5,Mapping!$E$2:$E$5) &amp; "_" &amp; $C16 &amp; ": return " &amp; "{" &amp; _xlfn.TEXTJOIN(", ", TRUE, _xlfn.XLOOKUP(--TRIM(L16:O16), --Mapping!$A$2:$A$6, Mapping!$B$2:$B$6)) &amp; "}" &amp; "; //  " &amp; L16 &amp; ",  "  &amp; M16 &amp; ",  "  &amp; N16 &amp; ",  "  &amp; O16</f>
        <v>9'b001_001100: return {3'b000, 3'b001, 3'b111, 3'b110}; //  0,  +1,  -1,  -2</v>
      </c>
      <c r="W16" s="1" t="str" cm="1">
        <f t="array" ref="W16">"9'b"&amp; _xlfn.XLOOKUP(--TRIM(P$3),--Mapping!$D$2:$D$5,Mapping!$E$2:$E$5) &amp; "_" &amp; $C16 &amp; ": return " &amp; "{" &amp; _xlfn.TEXTJOIN(", ", TRUE, _xlfn.XLOOKUP(--TRIM(P16:S16), --Mapping!$A$2:$A$6, Mapping!$B$2:$B$6)) &amp; "}" &amp; "; //  " &amp; P16 &amp; ",  "  &amp; Q16 &amp; ",  "  &amp; R16 &amp; ",  "  &amp; S16</f>
        <v>9'b011_001100: return {3'b000, 3'b001, 3'b110, 3'b111}; //  0,  +1,  -2,  -1</v>
      </c>
    </row>
    <row r="17" spans="1:23" x14ac:dyDescent="0.25">
      <c r="A17" s="1" t="s">
        <v>21</v>
      </c>
      <c r="B17" s="1" t="s">
        <v>108</v>
      </c>
      <c r="C17" s="1" t="s">
        <v>125</v>
      </c>
      <c r="D17" s="1" t="s">
        <v>112</v>
      </c>
      <c r="E17" s="1" t="s">
        <v>110</v>
      </c>
      <c r="F17" s="1" t="s">
        <v>112</v>
      </c>
      <c r="G17" s="1" t="s">
        <v>112</v>
      </c>
      <c r="H17" s="1" t="s">
        <v>112</v>
      </c>
      <c r="I17" s="1" t="s">
        <v>110</v>
      </c>
      <c r="J17" s="1" t="s">
        <v>114</v>
      </c>
      <c r="K17" s="1" t="s">
        <v>114</v>
      </c>
      <c r="L17" s="1" t="s">
        <v>112</v>
      </c>
      <c r="M17" s="1" t="s">
        <v>102</v>
      </c>
      <c r="N17" s="1" t="s">
        <v>114</v>
      </c>
      <c r="O17" s="1" t="s">
        <v>112</v>
      </c>
      <c r="P17" s="1" t="s">
        <v>112</v>
      </c>
      <c r="Q17" s="1" t="s">
        <v>102</v>
      </c>
      <c r="R17" s="1" t="s">
        <v>112</v>
      </c>
      <c r="S17" s="1" t="s">
        <v>114</v>
      </c>
      <c r="T17" s="1" t="str" cm="1">
        <f t="array" ref="T17">"9'b"&amp; _xlfn.XLOOKUP(--TRIM(D$3),--Mapping!$D$2:$D$5,Mapping!$E$2:$E$5) &amp; "_" &amp; $C17 &amp; ": return " &amp; "{" &amp; _xlfn.TEXTJOIN(", ", TRUE, _xlfn.XLOOKUP(--TRIM(D17:G17), --Mapping!$A$2:$A$6, Mapping!$B$2:$B$6)) &amp; "}" &amp; "; //  " &amp; D17 &amp; ",  "  &amp; E17 &amp; ",  "  &amp; F17 &amp; ",  "  &amp; G17</f>
        <v>9'b000_001101: return {3'b110, 3'b000, 3'b110, 3'b110}; //  -2,  0,  -2,  -2</v>
      </c>
      <c r="U17" s="1" t="str" cm="1">
        <f t="array" ref="U17">"9'b"&amp; _xlfn.XLOOKUP(--TRIM(H$3),--Mapping!$D$2:$D$5,Mapping!$E$2:$E$5) &amp; "_" &amp; $C17 &amp; ": return " &amp; "{" &amp; _xlfn.TEXTJOIN(", ", TRUE, _xlfn.XLOOKUP(--TRIM(H17:K17), --Mapping!$A$2:$A$6, Mapping!$B$2:$B$6)) &amp; "}" &amp; "; //  " &amp; H17 &amp; ",  "  &amp; I17 &amp; ",  "  &amp; J17 &amp; ",  "  &amp; K17</f>
        <v>9'b010_001101: return {3'b110, 3'b000, 3'b111, 3'b111}; //  -2,  0,  -1,  -1</v>
      </c>
      <c r="V17" s="1" t="str" cm="1">
        <f t="array" ref="V17">"9'b"&amp; _xlfn.XLOOKUP(--TRIM(L$3),--Mapping!$D$2:$D$5,Mapping!$E$2:$E$5) &amp; "_" &amp; $C17 &amp; ": return " &amp; "{" &amp; _xlfn.TEXTJOIN(", ", TRUE, _xlfn.XLOOKUP(--TRIM(L17:O17), --Mapping!$A$2:$A$6, Mapping!$B$2:$B$6)) &amp; "}" &amp; "; //  " &amp; L17 &amp; ",  "  &amp; M17 &amp; ",  "  &amp; N17 &amp; ",  "  &amp; O17</f>
        <v>9'b001_001101: return {3'b110, 3'b001, 3'b111, 3'b110}; //  -2,  +1,  -1,  -2</v>
      </c>
      <c r="W17" s="1" t="str" cm="1">
        <f t="array" ref="W17">"9'b"&amp; _xlfn.XLOOKUP(--TRIM(P$3),--Mapping!$D$2:$D$5,Mapping!$E$2:$E$5) &amp; "_" &amp; $C17 &amp; ": return " &amp; "{" &amp; _xlfn.TEXTJOIN(", ", TRUE, _xlfn.XLOOKUP(--TRIM(P17:S17), --Mapping!$A$2:$A$6, Mapping!$B$2:$B$6)) &amp; "}" &amp; "; //  " &amp; P17 &amp; ",  "  &amp; Q17 &amp; ",  "  &amp; R17 &amp; ",  "  &amp; S17</f>
        <v>9'b011_001101: return {3'b110, 3'b001, 3'b110, 3'b111}; //  -2,  +1,  -2,  -1</v>
      </c>
    </row>
    <row r="18" spans="1:23" x14ac:dyDescent="0.25">
      <c r="A18" s="1" t="s">
        <v>22</v>
      </c>
      <c r="B18" s="1" t="s">
        <v>108</v>
      </c>
      <c r="C18" s="1" t="s">
        <v>126</v>
      </c>
      <c r="D18" s="1" t="s">
        <v>110</v>
      </c>
      <c r="E18" s="1" t="s">
        <v>112</v>
      </c>
      <c r="F18" s="1" t="s">
        <v>112</v>
      </c>
      <c r="G18" s="1" t="s">
        <v>112</v>
      </c>
      <c r="H18" s="1" t="s">
        <v>110</v>
      </c>
      <c r="I18" s="1" t="s">
        <v>112</v>
      </c>
      <c r="J18" s="1" t="s">
        <v>114</v>
      </c>
      <c r="K18" s="1" t="s">
        <v>114</v>
      </c>
      <c r="L18" s="1" t="s">
        <v>110</v>
      </c>
      <c r="M18" s="1" t="s">
        <v>114</v>
      </c>
      <c r="N18" s="1" t="s">
        <v>114</v>
      </c>
      <c r="O18" s="1" t="s">
        <v>112</v>
      </c>
      <c r="P18" s="1" t="s">
        <v>110</v>
      </c>
      <c r="Q18" s="1" t="s">
        <v>114</v>
      </c>
      <c r="R18" s="1" t="s">
        <v>112</v>
      </c>
      <c r="S18" s="1" t="s">
        <v>114</v>
      </c>
      <c r="T18" s="1" t="str" cm="1">
        <f t="array" ref="T18">"9'b"&amp; _xlfn.XLOOKUP(--TRIM(D$3),--Mapping!$D$2:$D$5,Mapping!$E$2:$E$5) &amp; "_" &amp; $C18 &amp; ": return " &amp; "{" &amp; _xlfn.TEXTJOIN(", ", TRUE, _xlfn.XLOOKUP(--TRIM(D18:G18), --Mapping!$A$2:$A$6, Mapping!$B$2:$B$6)) &amp; "}" &amp; "; //  " &amp; D18 &amp; ",  "  &amp; E18 &amp; ",  "  &amp; F18 &amp; ",  "  &amp; G18</f>
        <v>9'b000_001110: return {3'b000, 3'b110, 3'b110, 3'b110}; //  0,  -2,  -2,  -2</v>
      </c>
      <c r="U18" s="1" t="str" cm="1">
        <f t="array" ref="U18">"9'b"&amp; _xlfn.XLOOKUP(--TRIM(H$3),--Mapping!$D$2:$D$5,Mapping!$E$2:$E$5) &amp; "_" &amp; $C18 &amp; ": return " &amp; "{" &amp; _xlfn.TEXTJOIN(", ", TRUE, _xlfn.XLOOKUP(--TRIM(H18:K18), --Mapping!$A$2:$A$6, Mapping!$B$2:$B$6)) &amp; "}" &amp; "; //  " &amp; H18 &amp; ",  "  &amp; I18 &amp; ",  "  &amp; J18 &amp; ",  "  &amp; K18</f>
        <v>9'b010_001110: return {3'b000, 3'b110, 3'b111, 3'b111}; //  0,  -2,  -1,  -1</v>
      </c>
      <c r="V18" s="1" t="str" cm="1">
        <f t="array" ref="V18">"9'b"&amp; _xlfn.XLOOKUP(--TRIM(L$3),--Mapping!$D$2:$D$5,Mapping!$E$2:$E$5) &amp; "_" &amp; $C18 &amp; ": return " &amp; "{" &amp; _xlfn.TEXTJOIN(", ", TRUE, _xlfn.XLOOKUP(--TRIM(L18:O18), --Mapping!$A$2:$A$6, Mapping!$B$2:$B$6)) &amp; "}" &amp; "; //  " &amp; L18 &amp; ",  "  &amp; M18 &amp; ",  "  &amp; N18 &amp; ",  "  &amp; O18</f>
        <v>9'b001_001110: return {3'b000, 3'b111, 3'b111, 3'b110}; //  0,  -1,  -1,  -2</v>
      </c>
      <c r="W18" s="1" t="str" cm="1">
        <f t="array" ref="W18">"9'b"&amp; _xlfn.XLOOKUP(--TRIM(P$3),--Mapping!$D$2:$D$5,Mapping!$E$2:$E$5) &amp; "_" &amp; $C18 &amp; ": return " &amp; "{" &amp; _xlfn.TEXTJOIN(", ", TRUE, _xlfn.XLOOKUP(--TRIM(P18:S18), --Mapping!$A$2:$A$6, Mapping!$B$2:$B$6)) &amp; "}" &amp; "; //  " &amp; P18 &amp; ",  "  &amp; Q18 &amp; ",  "  &amp; R18 &amp; ",  "  &amp; S18</f>
        <v>9'b011_001110: return {3'b000, 3'b111, 3'b110, 3'b111}; //  0,  -1,  -2,  -1</v>
      </c>
    </row>
    <row r="19" spans="1:23" x14ac:dyDescent="0.25">
      <c r="A19" s="1" t="s">
        <v>23</v>
      </c>
      <c r="B19" s="1" t="s">
        <v>108</v>
      </c>
      <c r="C19" s="1" t="s">
        <v>127</v>
      </c>
      <c r="D19" s="1" t="s">
        <v>112</v>
      </c>
      <c r="E19" s="1" t="s">
        <v>112</v>
      </c>
      <c r="F19" s="1" t="s">
        <v>112</v>
      </c>
      <c r="G19" s="1" t="s">
        <v>112</v>
      </c>
      <c r="H19" s="1" t="s">
        <v>112</v>
      </c>
      <c r="I19" s="1" t="s">
        <v>112</v>
      </c>
      <c r="J19" s="1" t="s">
        <v>114</v>
      </c>
      <c r="K19" s="1" t="s">
        <v>114</v>
      </c>
      <c r="L19" s="1" t="s">
        <v>112</v>
      </c>
      <c r="M19" s="1" t="s">
        <v>114</v>
      </c>
      <c r="N19" s="1" t="s">
        <v>114</v>
      </c>
      <c r="O19" s="1" t="s">
        <v>112</v>
      </c>
      <c r="P19" s="1" t="s">
        <v>112</v>
      </c>
      <c r="Q19" s="1" t="s">
        <v>114</v>
      </c>
      <c r="R19" s="1" t="s">
        <v>112</v>
      </c>
      <c r="S19" s="1" t="s">
        <v>114</v>
      </c>
      <c r="T19" s="1" t="str" cm="1">
        <f t="array" ref="T19">"9'b"&amp; _xlfn.XLOOKUP(--TRIM(D$3),--Mapping!$D$2:$D$5,Mapping!$E$2:$E$5) &amp; "_" &amp; $C19 &amp; ": return " &amp; "{" &amp; _xlfn.TEXTJOIN(", ", TRUE, _xlfn.XLOOKUP(--TRIM(D19:G19), --Mapping!$A$2:$A$6, Mapping!$B$2:$B$6)) &amp; "}" &amp; "; //  " &amp; D19 &amp; ",  "  &amp; E19 &amp; ",  "  &amp; F19 &amp; ",  "  &amp; G19</f>
        <v>9'b000_001111: return {3'b110, 3'b110, 3'b110, 3'b110}; //  -2,  -2,  -2,  -2</v>
      </c>
      <c r="U19" s="1" t="str" cm="1">
        <f t="array" ref="U19">"9'b"&amp; _xlfn.XLOOKUP(--TRIM(H$3),--Mapping!$D$2:$D$5,Mapping!$E$2:$E$5) &amp; "_" &amp; $C19 &amp; ": return " &amp; "{" &amp; _xlfn.TEXTJOIN(", ", TRUE, _xlfn.XLOOKUP(--TRIM(H19:K19), --Mapping!$A$2:$A$6, Mapping!$B$2:$B$6)) &amp; "}" &amp; "; //  " &amp; H19 &amp; ",  "  &amp; I19 &amp; ",  "  &amp; J19 &amp; ",  "  &amp; K19</f>
        <v>9'b010_001111: return {3'b110, 3'b110, 3'b111, 3'b111}; //  -2,  -2,  -1,  -1</v>
      </c>
      <c r="V19" s="1" t="str" cm="1">
        <f t="array" ref="V19">"9'b"&amp; _xlfn.XLOOKUP(--TRIM(L$3),--Mapping!$D$2:$D$5,Mapping!$E$2:$E$5) &amp; "_" &amp; $C19 &amp; ": return " &amp; "{" &amp; _xlfn.TEXTJOIN(", ", TRUE, _xlfn.XLOOKUP(--TRIM(L19:O19), --Mapping!$A$2:$A$6, Mapping!$B$2:$B$6)) &amp; "}" &amp; "; //  " &amp; L19 &amp; ",  "  &amp; M19 &amp; ",  "  &amp; N19 &amp; ",  "  &amp; O19</f>
        <v>9'b001_001111: return {3'b110, 3'b111, 3'b111, 3'b110}; //  -2,  -1,  -1,  -2</v>
      </c>
      <c r="W19" s="1" t="str" cm="1">
        <f t="array" ref="W19">"9'b"&amp; _xlfn.XLOOKUP(--TRIM(P$3),--Mapping!$D$2:$D$5,Mapping!$E$2:$E$5) &amp; "_" &amp; $C19 &amp; ": return " &amp; "{" &amp; _xlfn.TEXTJOIN(", ", TRUE, _xlfn.XLOOKUP(--TRIM(P19:S19), --Mapping!$A$2:$A$6, Mapping!$B$2:$B$6)) &amp; "}" &amp; "; //  " &amp; P19 &amp; ",  "  &amp; Q19 &amp; ",  "  &amp; R19 &amp; ",  "  &amp; S19</f>
        <v>9'b011_001111: return {3'b110, 3'b111, 3'b110, 3'b111}; //  -2,  -1,  -2,  -1</v>
      </c>
    </row>
    <row r="20" spans="1:23" x14ac:dyDescent="0.25">
      <c r="A20" s="1" t="s">
        <v>24</v>
      </c>
      <c r="B20" s="1" t="s">
        <v>108</v>
      </c>
      <c r="C20" s="1" t="s">
        <v>128</v>
      </c>
      <c r="D20" s="1" t="s">
        <v>102</v>
      </c>
      <c r="E20" s="1" t="s">
        <v>102</v>
      </c>
      <c r="F20" s="1" t="s">
        <v>102</v>
      </c>
      <c r="G20" s="1" t="s">
        <v>102</v>
      </c>
      <c r="H20" s="1" t="s">
        <v>102</v>
      </c>
      <c r="I20" s="1" t="s">
        <v>102</v>
      </c>
      <c r="J20" s="1" t="s">
        <v>110</v>
      </c>
      <c r="K20" s="1" t="s">
        <v>110</v>
      </c>
      <c r="L20" s="1" t="s">
        <v>102</v>
      </c>
      <c r="M20" s="1" t="s">
        <v>110</v>
      </c>
      <c r="N20" s="1" t="s">
        <v>110</v>
      </c>
      <c r="O20" s="1" t="s">
        <v>102</v>
      </c>
      <c r="P20" s="1" t="s">
        <v>102</v>
      </c>
      <c r="Q20" s="1" t="s">
        <v>110</v>
      </c>
      <c r="R20" s="1" t="s">
        <v>102</v>
      </c>
      <c r="S20" s="1" t="s">
        <v>110</v>
      </c>
      <c r="T20" s="1" t="str" cm="1">
        <f t="array" ref="T20">"9'b"&amp; _xlfn.XLOOKUP(--TRIM(D$3),--Mapping!$D$2:$D$5,Mapping!$E$2:$E$5) &amp; "_" &amp; $C20 &amp; ": return " &amp; "{" &amp; _xlfn.TEXTJOIN(", ", TRUE, _xlfn.XLOOKUP(--TRIM(D20:G20), --Mapping!$A$2:$A$6, Mapping!$B$2:$B$6)) &amp; "}" &amp; "; //  " &amp; D20 &amp; ",  "  &amp; E20 &amp; ",  "  &amp; F20 &amp; ",  "  &amp; G20</f>
        <v>9'b000_010000: return {3'b001, 3'b001, 3'b001, 3'b001}; //  +1,  +1,  +1,  +1</v>
      </c>
      <c r="U20" s="1" t="str" cm="1">
        <f t="array" ref="U20">"9'b"&amp; _xlfn.XLOOKUP(--TRIM(H$3),--Mapping!$D$2:$D$5,Mapping!$E$2:$E$5) &amp; "_" &amp; $C20 &amp; ": return " &amp; "{" &amp; _xlfn.TEXTJOIN(", ", TRUE, _xlfn.XLOOKUP(--TRIM(H20:K20), --Mapping!$A$2:$A$6, Mapping!$B$2:$B$6)) &amp; "}" &amp; "; //  " &amp; H20 &amp; ",  "  &amp; I20 &amp; ",  "  &amp; J20 &amp; ",  "  &amp; K20</f>
        <v>9'b010_010000: return {3'b001, 3'b001, 3'b000, 3'b000}; //  +1,  +1,  0,  0</v>
      </c>
      <c r="V20" s="1" t="str" cm="1">
        <f t="array" ref="V20">"9'b"&amp; _xlfn.XLOOKUP(--TRIM(L$3),--Mapping!$D$2:$D$5,Mapping!$E$2:$E$5) &amp; "_" &amp; $C20 &amp; ": return " &amp; "{" &amp; _xlfn.TEXTJOIN(", ", TRUE, _xlfn.XLOOKUP(--TRIM(L20:O20), --Mapping!$A$2:$A$6, Mapping!$B$2:$B$6)) &amp; "}" &amp; "; //  " &amp; L20 &amp; ",  "  &amp; M20 &amp; ",  "  &amp; N20 &amp; ",  "  &amp; O20</f>
        <v>9'b001_010000: return {3'b001, 3'b000, 3'b000, 3'b001}; //  +1,  0,  0,  +1</v>
      </c>
      <c r="W20" s="1" t="str" cm="1">
        <f t="array" ref="W20">"9'b"&amp; _xlfn.XLOOKUP(--TRIM(P$3),--Mapping!$D$2:$D$5,Mapping!$E$2:$E$5) &amp; "_" &amp; $C20 &amp; ": return " &amp; "{" &amp; _xlfn.TEXTJOIN(", ", TRUE, _xlfn.XLOOKUP(--TRIM(P20:S20), --Mapping!$A$2:$A$6, Mapping!$B$2:$B$6)) &amp; "}" &amp; "; //  " &amp; P20 &amp; ",  "  &amp; Q20 &amp; ",  "  &amp; R20 &amp; ",  "  &amp; S20</f>
        <v>9'b011_010000: return {3'b001, 3'b000, 3'b001, 3'b000}; //  +1,  0,  +1,  0</v>
      </c>
    </row>
    <row r="21" spans="1:23" x14ac:dyDescent="0.25">
      <c r="A21" s="1" t="s">
        <v>25</v>
      </c>
      <c r="B21" s="1" t="s">
        <v>108</v>
      </c>
      <c r="C21" s="1" t="s">
        <v>129</v>
      </c>
      <c r="D21" s="1" t="s">
        <v>114</v>
      </c>
      <c r="E21" s="1" t="s">
        <v>102</v>
      </c>
      <c r="F21" s="1" t="s">
        <v>102</v>
      </c>
      <c r="G21" s="1" t="s">
        <v>102</v>
      </c>
      <c r="H21" s="1" t="s">
        <v>114</v>
      </c>
      <c r="I21" s="1" t="s">
        <v>102</v>
      </c>
      <c r="J21" s="1" t="s">
        <v>110</v>
      </c>
      <c r="K21" s="1" t="s">
        <v>110</v>
      </c>
      <c r="L21" s="1" t="s">
        <v>114</v>
      </c>
      <c r="M21" s="1" t="s">
        <v>110</v>
      </c>
      <c r="N21" s="1" t="s">
        <v>110</v>
      </c>
      <c r="O21" s="1" t="s">
        <v>102</v>
      </c>
      <c r="P21" s="1" t="s">
        <v>114</v>
      </c>
      <c r="Q21" s="1" t="s">
        <v>110</v>
      </c>
      <c r="R21" s="1" t="s">
        <v>102</v>
      </c>
      <c r="S21" s="1" t="s">
        <v>110</v>
      </c>
      <c r="T21" s="1" t="str" cm="1">
        <f t="array" ref="T21">"9'b"&amp; _xlfn.XLOOKUP(--TRIM(D$3),--Mapping!$D$2:$D$5,Mapping!$E$2:$E$5) &amp; "_" &amp; $C21 &amp; ": return " &amp; "{" &amp; _xlfn.TEXTJOIN(", ", TRUE, _xlfn.XLOOKUP(--TRIM(D21:G21), --Mapping!$A$2:$A$6, Mapping!$B$2:$B$6)) &amp; "}" &amp; "; //  " &amp; D21 &amp; ",  "  &amp; E21 &amp; ",  "  &amp; F21 &amp; ",  "  &amp; G21</f>
        <v>9'b000_010001: return {3'b111, 3'b001, 3'b001, 3'b001}; //  -1,  +1,  +1,  +1</v>
      </c>
      <c r="U21" s="1" t="str" cm="1">
        <f t="array" ref="U21">"9'b"&amp; _xlfn.XLOOKUP(--TRIM(H$3),--Mapping!$D$2:$D$5,Mapping!$E$2:$E$5) &amp; "_" &amp; $C21 &amp; ": return " &amp; "{" &amp; _xlfn.TEXTJOIN(", ", TRUE, _xlfn.XLOOKUP(--TRIM(H21:K21), --Mapping!$A$2:$A$6, Mapping!$B$2:$B$6)) &amp; "}" &amp; "; //  " &amp; H21 &amp; ",  "  &amp; I21 &amp; ",  "  &amp; J21 &amp; ",  "  &amp; K21</f>
        <v>9'b010_010001: return {3'b111, 3'b001, 3'b000, 3'b000}; //  -1,  +1,  0,  0</v>
      </c>
      <c r="V21" s="1" t="str" cm="1">
        <f t="array" ref="V21">"9'b"&amp; _xlfn.XLOOKUP(--TRIM(L$3),--Mapping!$D$2:$D$5,Mapping!$E$2:$E$5) &amp; "_" &amp; $C21 &amp; ": return " &amp; "{" &amp; _xlfn.TEXTJOIN(", ", TRUE, _xlfn.XLOOKUP(--TRIM(L21:O21), --Mapping!$A$2:$A$6, Mapping!$B$2:$B$6)) &amp; "}" &amp; "; //  " &amp; L21 &amp; ",  "  &amp; M21 &amp; ",  "  &amp; N21 &amp; ",  "  &amp; O21</f>
        <v>9'b001_010001: return {3'b111, 3'b000, 3'b000, 3'b001}; //  -1,  0,  0,  +1</v>
      </c>
      <c r="W21" s="1" t="str" cm="1">
        <f t="array" ref="W21">"9'b"&amp; _xlfn.XLOOKUP(--TRIM(P$3),--Mapping!$D$2:$D$5,Mapping!$E$2:$E$5) &amp; "_" &amp; $C21 &amp; ": return " &amp; "{" &amp; _xlfn.TEXTJOIN(", ", TRUE, _xlfn.XLOOKUP(--TRIM(P21:S21), --Mapping!$A$2:$A$6, Mapping!$B$2:$B$6)) &amp; "}" &amp; "; //  " &amp; P21 &amp; ",  "  &amp; Q21 &amp; ",  "  &amp; R21 &amp; ",  "  &amp; S21</f>
        <v>9'b011_010001: return {3'b111, 3'b000, 3'b001, 3'b000}; //  -1,  0,  +1,  0</v>
      </c>
    </row>
    <row r="22" spans="1:23" x14ac:dyDescent="0.25">
      <c r="A22" s="1" t="s">
        <v>26</v>
      </c>
      <c r="B22" s="1" t="s">
        <v>108</v>
      </c>
      <c r="C22" s="1" t="s">
        <v>130</v>
      </c>
      <c r="D22" s="1" t="s">
        <v>102</v>
      </c>
      <c r="E22" s="1" t="s">
        <v>114</v>
      </c>
      <c r="F22" s="1" t="s">
        <v>102</v>
      </c>
      <c r="G22" s="1" t="s">
        <v>102</v>
      </c>
      <c r="H22" s="1" t="s">
        <v>102</v>
      </c>
      <c r="I22" s="1" t="s">
        <v>114</v>
      </c>
      <c r="J22" s="1" t="s">
        <v>110</v>
      </c>
      <c r="K22" s="1" t="s">
        <v>110</v>
      </c>
      <c r="L22" s="1" t="s">
        <v>102</v>
      </c>
      <c r="M22" s="1" t="s">
        <v>112</v>
      </c>
      <c r="N22" s="1" t="s">
        <v>110</v>
      </c>
      <c r="O22" s="1" t="s">
        <v>102</v>
      </c>
      <c r="P22" s="1" t="s">
        <v>102</v>
      </c>
      <c r="Q22" s="1" t="s">
        <v>112</v>
      </c>
      <c r="R22" s="1" t="s">
        <v>102</v>
      </c>
      <c r="S22" s="1" t="s">
        <v>110</v>
      </c>
      <c r="T22" s="1" t="str" cm="1">
        <f t="array" ref="T22">"9'b"&amp; _xlfn.XLOOKUP(--TRIM(D$3),--Mapping!$D$2:$D$5,Mapping!$E$2:$E$5) &amp; "_" &amp; $C22 &amp; ": return " &amp; "{" &amp; _xlfn.TEXTJOIN(", ", TRUE, _xlfn.XLOOKUP(--TRIM(D22:G22), --Mapping!$A$2:$A$6, Mapping!$B$2:$B$6)) &amp; "}" &amp; "; //  " &amp; D22 &amp; ",  "  &amp; E22 &amp; ",  "  &amp; F22 &amp; ",  "  &amp; G22</f>
        <v>9'b000_010010: return {3'b001, 3'b111, 3'b001, 3'b001}; //  +1,  -1,  +1,  +1</v>
      </c>
      <c r="U22" s="1" t="str" cm="1">
        <f t="array" ref="U22">"9'b"&amp; _xlfn.XLOOKUP(--TRIM(H$3),--Mapping!$D$2:$D$5,Mapping!$E$2:$E$5) &amp; "_" &amp; $C22 &amp; ": return " &amp; "{" &amp; _xlfn.TEXTJOIN(", ", TRUE, _xlfn.XLOOKUP(--TRIM(H22:K22), --Mapping!$A$2:$A$6, Mapping!$B$2:$B$6)) &amp; "}" &amp; "; //  " &amp; H22 &amp; ",  "  &amp; I22 &amp; ",  "  &amp; J22 &amp; ",  "  &amp; K22</f>
        <v>9'b010_010010: return {3'b001, 3'b111, 3'b000, 3'b000}; //  +1,  -1,  0,  0</v>
      </c>
      <c r="V22" s="1" t="str" cm="1">
        <f t="array" ref="V22">"9'b"&amp; _xlfn.XLOOKUP(--TRIM(L$3),--Mapping!$D$2:$D$5,Mapping!$E$2:$E$5) &amp; "_" &amp; $C22 &amp; ": return " &amp; "{" &amp; _xlfn.TEXTJOIN(", ", TRUE, _xlfn.XLOOKUP(--TRIM(L22:O22), --Mapping!$A$2:$A$6, Mapping!$B$2:$B$6)) &amp; "}" &amp; "; //  " &amp; L22 &amp; ",  "  &amp; M22 &amp; ",  "  &amp; N22 &amp; ",  "  &amp; O22</f>
        <v>9'b001_010010: return {3'b001, 3'b110, 3'b000, 3'b001}; //  +1,  -2,  0,  +1</v>
      </c>
      <c r="W22" s="1" t="str" cm="1">
        <f t="array" ref="W22">"9'b"&amp; _xlfn.XLOOKUP(--TRIM(P$3),--Mapping!$D$2:$D$5,Mapping!$E$2:$E$5) &amp; "_" &amp; $C22 &amp; ": return " &amp; "{" &amp; _xlfn.TEXTJOIN(", ", TRUE, _xlfn.XLOOKUP(--TRIM(P22:S22), --Mapping!$A$2:$A$6, Mapping!$B$2:$B$6)) &amp; "}" &amp; "; //  " &amp; P22 &amp; ",  "  &amp; Q22 &amp; ",  "  &amp; R22 &amp; ",  "  &amp; S22</f>
        <v>9'b011_010010: return {3'b001, 3'b110, 3'b001, 3'b000}; //  +1,  -2,  +1,  0</v>
      </c>
    </row>
    <row r="23" spans="1:23" x14ac:dyDescent="0.25">
      <c r="A23" s="1" t="s">
        <v>27</v>
      </c>
      <c r="B23" s="1" t="s">
        <v>108</v>
      </c>
      <c r="C23" s="1" t="s">
        <v>131</v>
      </c>
      <c r="D23" s="1" t="s">
        <v>114</v>
      </c>
      <c r="E23" s="1" t="s">
        <v>114</v>
      </c>
      <c r="F23" s="1" t="s">
        <v>102</v>
      </c>
      <c r="G23" s="1" t="s">
        <v>102</v>
      </c>
      <c r="H23" s="1" t="s">
        <v>114</v>
      </c>
      <c r="I23" s="1" t="s">
        <v>114</v>
      </c>
      <c r="J23" s="1" t="s">
        <v>110</v>
      </c>
      <c r="K23" s="1" t="s">
        <v>110</v>
      </c>
      <c r="L23" s="1" t="s">
        <v>114</v>
      </c>
      <c r="M23" s="1" t="s">
        <v>112</v>
      </c>
      <c r="N23" s="1" t="s">
        <v>110</v>
      </c>
      <c r="O23" s="1" t="s">
        <v>102</v>
      </c>
      <c r="P23" s="1" t="s">
        <v>114</v>
      </c>
      <c r="Q23" s="1" t="s">
        <v>112</v>
      </c>
      <c r="R23" s="1" t="s">
        <v>102</v>
      </c>
      <c r="S23" s="1" t="s">
        <v>110</v>
      </c>
      <c r="T23" s="1" t="str" cm="1">
        <f t="array" ref="T23">"9'b"&amp; _xlfn.XLOOKUP(--TRIM(D$3),--Mapping!$D$2:$D$5,Mapping!$E$2:$E$5) &amp; "_" &amp; $C23 &amp; ": return " &amp; "{" &amp; _xlfn.TEXTJOIN(", ", TRUE, _xlfn.XLOOKUP(--TRIM(D23:G23), --Mapping!$A$2:$A$6, Mapping!$B$2:$B$6)) &amp; "}" &amp; "; //  " &amp; D23 &amp; ",  "  &amp; E23 &amp; ",  "  &amp; F23 &amp; ",  "  &amp; G23</f>
        <v>9'b000_010011: return {3'b111, 3'b111, 3'b001, 3'b001}; //  -1,  -1,  +1,  +1</v>
      </c>
      <c r="U23" s="1" t="str" cm="1">
        <f t="array" ref="U23">"9'b"&amp; _xlfn.XLOOKUP(--TRIM(H$3),--Mapping!$D$2:$D$5,Mapping!$E$2:$E$5) &amp; "_" &amp; $C23 &amp; ": return " &amp; "{" &amp; _xlfn.TEXTJOIN(", ", TRUE, _xlfn.XLOOKUP(--TRIM(H23:K23), --Mapping!$A$2:$A$6, Mapping!$B$2:$B$6)) &amp; "}" &amp; "; //  " &amp; H23 &amp; ",  "  &amp; I23 &amp; ",  "  &amp; J23 &amp; ",  "  &amp; K23</f>
        <v>9'b010_010011: return {3'b111, 3'b111, 3'b000, 3'b000}; //  -1,  -1,  0,  0</v>
      </c>
      <c r="V23" s="1" t="str" cm="1">
        <f t="array" ref="V23">"9'b"&amp; _xlfn.XLOOKUP(--TRIM(L$3),--Mapping!$D$2:$D$5,Mapping!$E$2:$E$5) &amp; "_" &amp; $C23 &amp; ": return " &amp; "{" &amp; _xlfn.TEXTJOIN(", ", TRUE, _xlfn.XLOOKUP(--TRIM(L23:O23), --Mapping!$A$2:$A$6, Mapping!$B$2:$B$6)) &amp; "}" &amp; "; //  " &amp; L23 &amp; ",  "  &amp; M23 &amp; ",  "  &amp; N23 &amp; ",  "  &amp; O23</f>
        <v>9'b001_010011: return {3'b111, 3'b110, 3'b000, 3'b001}; //  -1,  -2,  0,  +1</v>
      </c>
      <c r="W23" s="1" t="str" cm="1">
        <f t="array" ref="W23">"9'b"&amp; _xlfn.XLOOKUP(--TRIM(P$3),--Mapping!$D$2:$D$5,Mapping!$E$2:$E$5) &amp; "_" &amp; $C23 &amp; ": return " &amp; "{" &amp; _xlfn.TEXTJOIN(", ", TRUE, _xlfn.XLOOKUP(--TRIM(P23:S23), --Mapping!$A$2:$A$6, Mapping!$B$2:$B$6)) &amp; "}" &amp; "; //  " &amp; P23 &amp; ",  "  &amp; Q23 &amp; ",  "  &amp; R23 &amp; ",  "  &amp; S23</f>
        <v>9'b011_010011: return {3'b111, 3'b110, 3'b001, 3'b000}; //  -1,  -2,  +1,  0</v>
      </c>
    </row>
    <row r="24" spans="1:23" x14ac:dyDescent="0.25">
      <c r="A24" s="1" t="s">
        <v>28</v>
      </c>
      <c r="B24" s="1" t="s">
        <v>108</v>
      </c>
      <c r="C24" s="1" t="s">
        <v>132</v>
      </c>
      <c r="D24" s="1" t="s">
        <v>102</v>
      </c>
      <c r="E24" s="1" t="s">
        <v>102</v>
      </c>
      <c r="F24" s="1" t="s">
        <v>114</v>
      </c>
      <c r="G24" s="1" t="s">
        <v>102</v>
      </c>
      <c r="H24" s="1" t="s">
        <v>102</v>
      </c>
      <c r="I24" s="1" t="s">
        <v>102</v>
      </c>
      <c r="J24" s="1" t="s">
        <v>112</v>
      </c>
      <c r="K24" s="1" t="s">
        <v>110</v>
      </c>
      <c r="L24" s="1" t="s">
        <v>102</v>
      </c>
      <c r="M24" s="1" t="s">
        <v>110</v>
      </c>
      <c r="N24" s="1" t="s">
        <v>112</v>
      </c>
      <c r="O24" s="1" t="s">
        <v>102</v>
      </c>
      <c r="P24" s="1" t="s">
        <v>102</v>
      </c>
      <c r="Q24" s="1" t="s">
        <v>110</v>
      </c>
      <c r="R24" s="1" t="s">
        <v>114</v>
      </c>
      <c r="S24" s="1" t="s">
        <v>110</v>
      </c>
      <c r="T24" s="1" t="str" cm="1">
        <f t="array" ref="T24">"9'b"&amp; _xlfn.XLOOKUP(--TRIM(D$3),--Mapping!$D$2:$D$5,Mapping!$E$2:$E$5) &amp; "_" &amp; $C24 &amp; ": return " &amp; "{" &amp; _xlfn.TEXTJOIN(", ", TRUE, _xlfn.XLOOKUP(--TRIM(D24:G24), --Mapping!$A$2:$A$6, Mapping!$B$2:$B$6)) &amp; "}" &amp; "; //  " &amp; D24 &amp; ",  "  &amp; E24 &amp; ",  "  &amp; F24 &amp; ",  "  &amp; G24</f>
        <v>9'b000_010100: return {3'b001, 3'b001, 3'b111, 3'b001}; //  +1,  +1,  -1,  +1</v>
      </c>
      <c r="U24" s="1" t="str" cm="1">
        <f t="array" ref="U24">"9'b"&amp; _xlfn.XLOOKUP(--TRIM(H$3),--Mapping!$D$2:$D$5,Mapping!$E$2:$E$5) &amp; "_" &amp; $C24 &amp; ": return " &amp; "{" &amp; _xlfn.TEXTJOIN(", ", TRUE, _xlfn.XLOOKUP(--TRIM(H24:K24), --Mapping!$A$2:$A$6, Mapping!$B$2:$B$6)) &amp; "}" &amp; "; //  " &amp; H24 &amp; ",  "  &amp; I24 &amp; ",  "  &amp; J24 &amp; ",  "  &amp; K24</f>
        <v>9'b010_010100: return {3'b001, 3'b001, 3'b110, 3'b000}; //  +1,  +1,  -2,  0</v>
      </c>
      <c r="V24" s="1" t="str" cm="1">
        <f t="array" ref="V24">"9'b"&amp; _xlfn.XLOOKUP(--TRIM(L$3),--Mapping!$D$2:$D$5,Mapping!$E$2:$E$5) &amp; "_" &amp; $C24 &amp; ": return " &amp; "{" &amp; _xlfn.TEXTJOIN(", ", TRUE, _xlfn.XLOOKUP(--TRIM(L24:O24), --Mapping!$A$2:$A$6, Mapping!$B$2:$B$6)) &amp; "}" &amp; "; //  " &amp; L24 &amp; ",  "  &amp; M24 &amp; ",  "  &amp; N24 &amp; ",  "  &amp; O24</f>
        <v>9'b001_010100: return {3'b001, 3'b000, 3'b110, 3'b001}; //  +1,  0,  -2,  +1</v>
      </c>
      <c r="W24" s="1" t="str" cm="1">
        <f t="array" ref="W24">"9'b"&amp; _xlfn.XLOOKUP(--TRIM(P$3),--Mapping!$D$2:$D$5,Mapping!$E$2:$E$5) &amp; "_" &amp; $C24 &amp; ": return " &amp; "{" &amp; _xlfn.TEXTJOIN(", ", TRUE, _xlfn.XLOOKUP(--TRIM(P24:S24), --Mapping!$A$2:$A$6, Mapping!$B$2:$B$6)) &amp; "}" &amp; "; //  " &amp; P24 &amp; ",  "  &amp; Q24 &amp; ",  "  &amp; R24 &amp; ",  "  &amp; S24</f>
        <v>9'b011_010100: return {3'b001, 3'b000, 3'b111, 3'b000}; //  +1,  0,  -1,  0</v>
      </c>
    </row>
    <row r="25" spans="1:23" x14ac:dyDescent="0.25">
      <c r="A25" s="1" t="s">
        <v>29</v>
      </c>
      <c r="B25" s="1" t="s">
        <v>108</v>
      </c>
      <c r="C25" s="1" t="s">
        <v>133</v>
      </c>
      <c r="D25" s="1" t="s">
        <v>114</v>
      </c>
      <c r="E25" s="1" t="s">
        <v>102</v>
      </c>
      <c r="F25" s="1" t="s">
        <v>114</v>
      </c>
      <c r="G25" s="1" t="s">
        <v>102</v>
      </c>
      <c r="H25" s="1" t="s">
        <v>114</v>
      </c>
      <c r="I25" s="1" t="s">
        <v>102</v>
      </c>
      <c r="J25" s="1" t="s">
        <v>112</v>
      </c>
      <c r="K25" s="1" t="s">
        <v>110</v>
      </c>
      <c r="L25" s="1" t="s">
        <v>114</v>
      </c>
      <c r="M25" s="1" t="s">
        <v>110</v>
      </c>
      <c r="N25" s="1" t="s">
        <v>112</v>
      </c>
      <c r="O25" s="1" t="s">
        <v>102</v>
      </c>
      <c r="P25" s="1" t="s">
        <v>114</v>
      </c>
      <c r="Q25" s="1" t="s">
        <v>110</v>
      </c>
      <c r="R25" s="1" t="s">
        <v>114</v>
      </c>
      <c r="S25" s="1" t="s">
        <v>110</v>
      </c>
      <c r="T25" s="1" t="str" cm="1">
        <f t="array" ref="T25">"9'b"&amp; _xlfn.XLOOKUP(--TRIM(D$3),--Mapping!$D$2:$D$5,Mapping!$E$2:$E$5) &amp; "_" &amp; $C25 &amp; ": return " &amp; "{" &amp; _xlfn.TEXTJOIN(", ", TRUE, _xlfn.XLOOKUP(--TRIM(D25:G25), --Mapping!$A$2:$A$6, Mapping!$B$2:$B$6)) &amp; "}" &amp; "; //  " &amp; D25 &amp; ",  "  &amp; E25 &amp; ",  "  &amp; F25 &amp; ",  "  &amp; G25</f>
        <v>9'b000_010101: return {3'b111, 3'b001, 3'b111, 3'b001}; //  -1,  +1,  -1,  +1</v>
      </c>
      <c r="U25" s="1" t="str" cm="1">
        <f t="array" ref="U25">"9'b"&amp; _xlfn.XLOOKUP(--TRIM(H$3),--Mapping!$D$2:$D$5,Mapping!$E$2:$E$5) &amp; "_" &amp; $C25 &amp; ": return " &amp; "{" &amp; _xlfn.TEXTJOIN(", ", TRUE, _xlfn.XLOOKUP(--TRIM(H25:K25), --Mapping!$A$2:$A$6, Mapping!$B$2:$B$6)) &amp; "}" &amp; "; //  " &amp; H25 &amp; ",  "  &amp; I25 &amp; ",  "  &amp; J25 &amp; ",  "  &amp; K25</f>
        <v>9'b010_010101: return {3'b111, 3'b001, 3'b110, 3'b000}; //  -1,  +1,  -2,  0</v>
      </c>
      <c r="V25" s="1" t="str" cm="1">
        <f t="array" ref="V25">"9'b"&amp; _xlfn.XLOOKUP(--TRIM(L$3),--Mapping!$D$2:$D$5,Mapping!$E$2:$E$5) &amp; "_" &amp; $C25 &amp; ": return " &amp; "{" &amp; _xlfn.TEXTJOIN(", ", TRUE, _xlfn.XLOOKUP(--TRIM(L25:O25), --Mapping!$A$2:$A$6, Mapping!$B$2:$B$6)) &amp; "}" &amp; "; //  " &amp; L25 &amp; ",  "  &amp; M25 &amp; ",  "  &amp; N25 &amp; ",  "  &amp; O25</f>
        <v>9'b001_010101: return {3'b111, 3'b000, 3'b110, 3'b001}; //  -1,  0,  -2,  +1</v>
      </c>
      <c r="W25" s="1" t="str" cm="1">
        <f t="array" ref="W25">"9'b"&amp; _xlfn.XLOOKUP(--TRIM(P$3),--Mapping!$D$2:$D$5,Mapping!$E$2:$E$5) &amp; "_" &amp; $C25 &amp; ": return " &amp; "{" &amp; _xlfn.TEXTJOIN(", ", TRUE, _xlfn.XLOOKUP(--TRIM(P25:S25), --Mapping!$A$2:$A$6, Mapping!$B$2:$B$6)) &amp; "}" &amp; "; //  " &amp; P25 &amp; ",  "  &amp; Q25 &amp; ",  "  &amp; R25 &amp; ",  "  &amp; S25</f>
        <v>9'b011_010101: return {3'b111, 3'b000, 3'b111, 3'b000}; //  -1,  0,  -1,  0</v>
      </c>
    </row>
    <row r="26" spans="1:23" x14ac:dyDescent="0.25">
      <c r="A26" s="1" t="s">
        <v>30</v>
      </c>
      <c r="B26" s="1" t="s">
        <v>108</v>
      </c>
      <c r="C26" s="1" t="s">
        <v>134</v>
      </c>
      <c r="D26" s="1" t="s">
        <v>102</v>
      </c>
      <c r="E26" s="1" t="s">
        <v>114</v>
      </c>
      <c r="F26" s="1" t="s">
        <v>114</v>
      </c>
      <c r="G26" s="1" t="s">
        <v>102</v>
      </c>
      <c r="H26" s="1" t="s">
        <v>102</v>
      </c>
      <c r="I26" s="1" t="s">
        <v>114</v>
      </c>
      <c r="J26" s="1" t="s">
        <v>112</v>
      </c>
      <c r="K26" s="1" t="s">
        <v>110</v>
      </c>
      <c r="L26" s="1" t="s">
        <v>102</v>
      </c>
      <c r="M26" s="1" t="s">
        <v>112</v>
      </c>
      <c r="N26" s="1" t="s">
        <v>112</v>
      </c>
      <c r="O26" s="1" t="s">
        <v>102</v>
      </c>
      <c r="P26" s="1" t="s">
        <v>102</v>
      </c>
      <c r="Q26" s="1" t="s">
        <v>112</v>
      </c>
      <c r="R26" s="1" t="s">
        <v>114</v>
      </c>
      <c r="S26" s="1" t="s">
        <v>110</v>
      </c>
      <c r="T26" s="1" t="str" cm="1">
        <f t="array" ref="T26">"9'b"&amp; _xlfn.XLOOKUP(--TRIM(D$3),--Mapping!$D$2:$D$5,Mapping!$E$2:$E$5) &amp; "_" &amp; $C26 &amp; ": return " &amp; "{" &amp; _xlfn.TEXTJOIN(", ", TRUE, _xlfn.XLOOKUP(--TRIM(D26:G26), --Mapping!$A$2:$A$6, Mapping!$B$2:$B$6)) &amp; "}" &amp; "; //  " &amp; D26 &amp; ",  "  &amp; E26 &amp; ",  "  &amp; F26 &amp; ",  "  &amp; G26</f>
        <v>9'b000_010110: return {3'b001, 3'b111, 3'b111, 3'b001}; //  +1,  -1,  -1,  +1</v>
      </c>
      <c r="U26" s="1" t="str" cm="1">
        <f t="array" ref="U26">"9'b"&amp; _xlfn.XLOOKUP(--TRIM(H$3),--Mapping!$D$2:$D$5,Mapping!$E$2:$E$5) &amp; "_" &amp; $C26 &amp; ": return " &amp; "{" &amp; _xlfn.TEXTJOIN(", ", TRUE, _xlfn.XLOOKUP(--TRIM(H26:K26), --Mapping!$A$2:$A$6, Mapping!$B$2:$B$6)) &amp; "}" &amp; "; //  " &amp; H26 &amp; ",  "  &amp; I26 &amp; ",  "  &amp; J26 &amp; ",  "  &amp; K26</f>
        <v>9'b010_010110: return {3'b001, 3'b111, 3'b110, 3'b000}; //  +1,  -1,  -2,  0</v>
      </c>
      <c r="V26" s="1" t="str" cm="1">
        <f t="array" ref="V26">"9'b"&amp; _xlfn.XLOOKUP(--TRIM(L$3),--Mapping!$D$2:$D$5,Mapping!$E$2:$E$5) &amp; "_" &amp; $C26 &amp; ": return " &amp; "{" &amp; _xlfn.TEXTJOIN(", ", TRUE, _xlfn.XLOOKUP(--TRIM(L26:O26), --Mapping!$A$2:$A$6, Mapping!$B$2:$B$6)) &amp; "}" &amp; "; //  " &amp; L26 &amp; ",  "  &amp; M26 &amp; ",  "  &amp; N26 &amp; ",  "  &amp; O26</f>
        <v>9'b001_010110: return {3'b001, 3'b110, 3'b110, 3'b001}; //  +1,  -2,  -2,  +1</v>
      </c>
      <c r="W26" s="1" t="str" cm="1">
        <f t="array" ref="W26">"9'b"&amp; _xlfn.XLOOKUP(--TRIM(P$3),--Mapping!$D$2:$D$5,Mapping!$E$2:$E$5) &amp; "_" &amp; $C26 &amp; ": return " &amp; "{" &amp; _xlfn.TEXTJOIN(", ", TRUE, _xlfn.XLOOKUP(--TRIM(P26:S26), --Mapping!$A$2:$A$6, Mapping!$B$2:$B$6)) &amp; "}" &amp; "; //  " &amp; P26 &amp; ",  "  &amp; Q26 &amp; ",  "  &amp; R26 &amp; ",  "  &amp; S26</f>
        <v>9'b011_010110: return {3'b001, 3'b110, 3'b111, 3'b000}; //  +1,  -2,  -1,  0</v>
      </c>
    </row>
    <row r="27" spans="1:23" x14ac:dyDescent="0.25">
      <c r="A27" s="1" t="s">
        <v>31</v>
      </c>
      <c r="B27" s="1" t="s">
        <v>108</v>
      </c>
      <c r="C27" s="1" t="s">
        <v>135</v>
      </c>
      <c r="D27" s="1" t="s">
        <v>114</v>
      </c>
      <c r="E27" s="1" t="s">
        <v>114</v>
      </c>
      <c r="F27" s="1" t="s">
        <v>114</v>
      </c>
      <c r="G27" s="1" t="s">
        <v>102</v>
      </c>
      <c r="H27" s="1" t="s">
        <v>114</v>
      </c>
      <c r="I27" s="1" t="s">
        <v>114</v>
      </c>
      <c r="J27" s="1" t="s">
        <v>112</v>
      </c>
      <c r="K27" s="1" t="s">
        <v>110</v>
      </c>
      <c r="L27" s="1" t="s">
        <v>114</v>
      </c>
      <c r="M27" s="1" t="s">
        <v>112</v>
      </c>
      <c r="N27" s="1" t="s">
        <v>112</v>
      </c>
      <c r="O27" s="1" t="s">
        <v>102</v>
      </c>
      <c r="P27" s="1" t="s">
        <v>114</v>
      </c>
      <c r="Q27" s="1" t="s">
        <v>112</v>
      </c>
      <c r="R27" s="1" t="s">
        <v>114</v>
      </c>
      <c r="S27" s="1" t="s">
        <v>110</v>
      </c>
      <c r="T27" s="1" t="str" cm="1">
        <f t="array" ref="T27">"9'b"&amp; _xlfn.XLOOKUP(--TRIM(D$3),--Mapping!$D$2:$D$5,Mapping!$E$2:$E$5) &amp; "_" &amp; $C27 &amp; ": return " &amp; "{" &amp; _xlfn.TEXTJOIN(", ", TRUE, _xlfn.XLOOKUP(--TRIM(D27:G27), --Mapping!$A$2:$A$6, Mapping!$B$2:$B$6)) &amp; "}" &amp; "; //  " &amp; D27 &amp; ",  "  &amp; E27 &amp; ",  "  &amp; F27 &amp; ",  "  &amp; G27</f>
        <v>9'b000_010111: return {3'b111, 3'b111, 3'b111, 3'b001}; //  -1,  -1,  -1,  +1</v>
      </c>
      <c r="U27" s="1" t="str" cm="1">
        <f t="array" ref="U27">"9'b"&amp; _xlfn.XLOOKUP(--TRIM(H$3),--Mapping!$D$2:$D$5,Mapping!$E$2:$E$5) &amp; "_" &amp; $C27 &amp; ": return " &amp; "{" &amp; _xlfn.TEXTJOIN(", ", TRUE, _xlfn.XLOOKUP(--TRIM(H27:K27), --Mapping!$A$2:$A$6, Mapping!$B$2:$B$6)) &amp; "}" &amp; "; //  " &amp; H27 &amp; ",  "  &amp; I27 &amp; ",  "  &amp; J27 &amp; ",  "  &amp; K27</f>
        <v>9'b010_010111: return {3'b111, 3'b111, 3'b110, 3'b000}; //  -1,  -1,  -2,  0</v>
      </c>
      <c r="V27" s="1" t="str" cm="1">
        <f t="array" ref="V27">"9'b"&amp; _xlfn.XLOOKUP(--TRIM(L$3),--Mapping!$D$2:$D$5,Mapping!$E$2:$E$5) &amp; "_" &amp; $C27 &amp; ": return " &amp; "{" &amp; _xlfn.TEXTJOIN(", ", TRUE, _xlfn.XLOOKUP(--TRIM(L27:O27), --Mapping!$A$2:$A$6, Mapping!$B$2:$B$6)) &amp; "}" &amp; "; //  " &amp; L27 &amp; ",  "  &amp; M27 &amp; ",  "  &amp; N27 &amp; ",  "  &amp; O27</f>
        <v>9'b001_010111: return {3'b111, 3'b110, 3'b110, 3'b001}; //  -1,  -2,  -2,  +1</v>
      </c>
      <c r="W27" s="1" t="str" cm="1">
        <f t="array" ref="W27">"9'b"&amp; _xlfn.XLOOKUP(--TRIM(P$3),--Mapping!$D$2:$D$5,Mapping!$E$2:$E$5) &amp; "_" &amp; $C27 &amp; ": return " &amp; "{" &amp; _xlfn.TEXTJOIN(", ", TRUE, _xlfn.XLOOKUP(--TRIM(P27:S27), --Mapping!$A$2:$A$6, Mapping!$B$2:$B$6)) &amp; "}" &amp; "; //  " &amp; P27 &amp; ",  "  &amp; Q27 &amp; ",  "  &amp; R27 &amp; ",  "  &amp; S27</f>
        <v>9'b011_010111: return {3'b111, 3'b110, 3'b111, 3'b000}; //  -1,  -2,  -1,  0</v>
      </c>
    </row>
    <row r="28" spans="1:23" x14ac:dyDescent="0.25">
      <c r="A28" s="1" t="s">
        <v>32</v>
      </c>
      <c r="B28" s="1" t="s">
        <v>108</v>
      </c>
      <c r="C28" s="1" t="s">
        <v>136</v>
      </c>
      <c r="D28" s="1" t="s">
        <v>102</v>
      </c>
      <c r="E28" s="1" t="s">
        <v>102</v>
      </c>
      <c r="F28" s="1" t="s">
        <v>102</v>
      </c>
      <c r="G28" s="1" t="s">
        <v>114</v>
      </c>
      <c r="H28" s="1" t="s">
        <v>102</v>
      </c>
      <c r="I28" s="1" t="s">
        <v>102</v>
      </c>
      <c r="J28" s="1" t="s">
        <v>110</v>
      </c>
      <c r="K28" s="1" t="s">
        <v>112</v>
      </c>
      <c r="L28" s="1" t="s">
        <v>102</v>
      </c>
      <c r="M28" s="1" t="s">
        <v>110</v>
      </c>
      <c r="N28" s="1" t="s">
        <v>110</v>
      </c>
      <c r="O28" s="1" t="s">
        <v>114</v>
      </c>
      <c r="P28" s="1" t="s">
        <v>102</v>
      </c>
      <c r="Q28" s="1" t="s">
        <v>110</v>
      </c>
      <c r="R28" s="1" t="s">
        <v>102</v>
      </c>
      <c r="S28" s="1" t="s">
        <v>112</v>
      </c>
      <c r="T28" s="1" t="str" cm="1">
        <f t="array" ref="T28">"9'b"&amp; _xlfn.XLOOKUP(--TRIM(D$3),--Mapping!$D$2:$D$5,Mapping!$E$2:$E$5) &amp; "_" &amp; $C28 &amp; ": return " &amp; "{" &amp; _xlfn.TEXTJOIN(", ", TRUE, _xlfn.XLOOKUP(--TRIM(D28:G28), --Mapping!$A$2:$A$6, Mapping!$B$2:$B$6)) &amp; "}" &amp; "; //  " &amp; D28 &amp; ",  "  &amp; E28 &amp; ",  "  &amp; F28 &amp; ",  "  &amp; G28</f>
        <v>9'b000_011000: return {3'b001, 3'b001, 3'b001, 3'b111}; //  +1,  +1,  +1,  -1</v>
      </c>
      <c r="U28" s="1" t="str" cm="1">
        <f t="array" ref="U28">"9'b"&amp; _xlfn.XLOOKUP(--TRIM(H$3),--Mapping!$D$2:$D$5,Mapping!$E$2:$E$5) &amp; "_" &amp; $C28 &amp; ": return " &amp; "{" &amp; _xlfn.TEXTJOIN(", ", TRUE, _xlfn.XLOOKUP(--TRIM(H28:K28), --Mapping!$A$2:$A$6, Mapping!$B$2:$B$6)) &amp; "}" &amp; "; //  " &amp; H28 &amp; ",  "  &amp; I28 &amp; ",  "  &amp; J28 &amp; ",  "  &amp; K28</f>
        <v>9'b010_011000: return {3'b001, 3'b001, 3'b000, 3'b110}; //  +1,  +1,  0,  -2</v>
      </c>
      <c r="V28" s="1" t="str" cm="1">
        <f t="array" ref="V28">"9'b"&amp; _xlfn.XLOOKUP(--TRIM(L$3),--Mapping!$D$2:$D$5,Mapping!$E$2:$E$5) &amp; "_" &amp; $C28 &amp; ": return " &amp; "{" &amp; _xlfn.TEXTJOIN(", ", TRUE, _xlfn.XLOOKUP(--TRIM(L28:O28), --Mapping!$A$2:$A$6, Mapping!$B$2:$B$6)) &amp; "}" &amp; "; //  " &amp; L28 &amp; ",  "  &amp; M28 &amp; ",  "  &amp; N28 &amp; ",  "  &amp; O28</f>
        <v>9'b001_011000: return {3'b001, 3'b000, 3'b000, 3'b111}; //  +1,  0,  0,  -1</v>
      </c>
      <c r="W28" s="1" t="str" cm="1">
        <f t="array" ref="W28">"9'b"&amp; _xlfn.XLOOKUP(--TRIM(P$3),--Mapping!$D$2:$D$5,Mapping!$E$2:$E$5) &amp; "_" &amp; $C28 &amp; ": return " &amp; "{" &amp; _xlfn.TEXTJOIN(", ", TRUE, _xlfn.XLOOKUP(--TRIM(P28:S28), --Mapping!$A$2:$A$6, Mapping!$B$2:$B$6)) &amp; "}" &amp; "; //  " &amp; P28 &amp; ",  "  &amp; Q28 &amp; ",  "  &amp; R28 &amp; ",  "  &amp; S28</f>
        <v>9'b011_011000: return {3'b001, 3'b000, 3'b001, 3'b110}; //  +1,  0,  +1,  -2</v>
      </c>
    </row>
    <row r="29" spans="1:23" x14ac:dyDescent="0.25">
      <c r="A29" s="1" t="s">
        <v>33</v>
      </c>
      <c r="B29" s="1" t="s">
        <v>108</v>
      </c>
      <c r="C29" s="1" t="s">
        <v>137</v>
      </c>
      <c r="D29" s="1" t="s">
        <v>114</v>
      </c>
      <c r="E29" s="1" t="s">
        <v>102</v>
      </c>
      <c r="F29" s="1" t="s">
        <v>102</v>
      </c>
      <c r="G29" s="1" t="s">
        <v>114</v>
      </c>
      <c r="H29" s="1" t="s">
        <v>114</v>
      </c>
      <c r="I29" s="1" t="s">
        <v>102</v>
      </c>
      <c r="J29" s="1" t="s">
        <v>110</v>
      </c>
      <c r="K29" s="1" t="s">
        <v>112</v>
      </c>
      <c r="L29" s="1" t="s">
        <v>114</v>
      </c>
      <c r="M29" s="1" t="s">
        <v>110</v>
      </c>
      <c r="N29" s="1" t="s">
        <v>110</v>
      </c>
      <c r="O29" s="1" t="s">
        <v>114</v>
      </c>
      <c r="P29" s="1" t="s">
        <v>114</v>
      </c>
      <c r="Q29" s="1" t="s">
        <v>110</v>
      </c>
      <c r="R29" s="1" t="s">
        <v>102</v>
      </c>
      <c r="S29" s="1" t="s">
        <v>112</v>
      </c>
      <c r="T29" s="1" t="str" cm="1">
        <f t="array" ref="T29">"9'b"&amp; _xlfn.XLOOKUP(--TRIM(D$3),--Mapping!$D$2:$D$5,Mapping!$E$2:$E$5) &amp; "_" &amp; $C29 &amp; ": return " &amp; "{" &amp; _xlfn.TEXTJOIN(", ", TRUE, _xlfn.XLOOKUP(--TRIM(D29:G29), --Mapping!$A$2:$A$6, Mapping!$B$2:$B$6)) &amp; "}" &amp; "; //  " &amp; D29 &amp; ",  "  &amp; E29 &amp; ",  "  &amp; F29 &amp; ",  "  &amp; G29</f>
        <v>9'b000_011001: return {3'b111, 3'b001, 3'b001, 3'b111}; //  -1,  +1,  +1,  -1</v>
      </c>
      <c r="U29" s="1" t="str" cm="1">
        <f t="array" ref="U29">"9'b"&amp; _xlfn.XLOOKUP(--TRIM(H$3),--Mapping!$D$2:$D$5,Mapping!$E$2:$E$5) &amp; "_" &amp; $C29 &amp; ": return " &amp; "{" &amp; _xlfn.TEXTJOIN(", ", TRUE, _xlfn.XLOOKUP(--TRIM(H29:K29), --Mapping!$A$2:$A$6, Mapping!$B$2:$B$6)) &amp; "}" &amp; "; //  " &amp; H29 &amp; ",  "  &amp; I29 &amp; ",  "  &amp; J29 &amp; ",  "  &amp; K29</f>
        <v>9'b010_011001: return {3'b111, 3'b001, 3'b000, 3'b110}; //  -1,  +1,  0,  -2</v>
      </c>
      <c r="V29" s="1" t="str" cm="1">
        <f t="array" ref="V29">"9'b"&amp; _xlfn.XLOOKUP(--TRIM(L$3),--Mapping!$D$2:$D$5,Mapping!$E$2:$E$5) &amp; "_" &amp; $C29 &amp; ": return " &amp; "{" &amp; _xlfn.TEXTJOIN(", ", TRUE, _xlfn.XLOOKUP(--TRIM(L29:O29), --Mapping!$A$2:$A$6, Mapping!$B$2:$B$6)) &amp; "}" &amp; "; //  " &amp; L29 &amp; ",  "  &amp; M29 &amp; ",  "  &amp; N29 &amp; ",  "  &amp; O29</f>
        <v>9'b001_011001: return {3'b111, 3'b000, 3'b000, 3'b111}; //  -1,  0,  0,  -1</v>
      </c>
      <c r="W29" s="1" t="str" cm="1">
        <f t="array" ref="W29">"9'b"&amp; _xlfn.XLOOKUP(--TRIM(P$3),--Mapping!$D$2:$D$5,Mapping!$E$2:$E$5) &amp; "_" &amp; $C29 &amp; ": return " &amp; "{" &amp; _xlfn.TEXTJOIN(", ", TRUE, _xlfn.XLOOKUP(--TRIM(P29:S29), --Mapping!$A$2:$A$6, Mapping!$B$2:$B$6)) &amp; "}" &amp; "; //  " &amp; P29 &amp; ",  "  &amp; Q29 &amp; ",  "  &amp; R29 &amp; ",  "  &amp; S29</f>
        <v>9'b011_011001: return {3'b111, 3'b000, 3'b001, 3'b110}; //  -1,  0,  +1,  -2</v>
      </c>
    </row>
    <row r="30" spans="1:23" x14ac:dyDescent="0.25">
      <c r="A30" s="1" t="s">
        <v>34</v>
      </c>
      <c r="B30" s="1" t="s">
        <v>108</v>
      </c>
      <c r="C30" s="1" t="s">
        <v>138</v>
      </c>
      <c r="D30" s="1" t="s">
        <v>102</v>
      </c>
      <c r="E30" s="1" t="s">
        <v>114</v>
      </c>
      <c r="F30" s="1" t="s">
        <v>102</v>
      </c>
      <c r="G30" s="1" t="s">
        <v>114</v>
      </c>
      <c r="H30" s="1" t="s">
        <v>102</v>
      </c>
      <c r="I30" s="1" t="s">
        <v>114</v>
      </c>
      <c r="J30" s="1" t="s">
        <v>110</v>
      </c>
      <c r="K30" s="1" t="s">
        <v>112</v>
      </c>
      <c r="L30" s="1" t="s">
        <v>102</v>
      </c>
      <c r="M30" s="1" t="s">
        <v>112</v>
      </c>
      <c r="N30" s="1" t="s">
        <v>110</v>
      </c>
      <c r="O30" s="1" t="s">
        <v>114</v>
      </c>
      <c r="P30" s="1" t="s">
        <v>102</v>
      </c>
      <c r="Q30" s="1" t="s">
        <v>112</v>
      </c>
      <c r="R30" s="1" t="s">
        <v>102</v>
      </c>
      <c r="S30" s="1" t="s">
        <v>112</v>
      </c>
      <c r="T30" s="1" t="str" cm="1">
        <f t="array" ref="T30">"9'b"&amp; _xlfn.XLOOKUP(--TRIM(D$3),--Mapping!$D$2:$D$5,Mapping!$E$2:$E$5) &amp; "_" &amp; $C30 &amp; ": return " &amp; "{" &amp; _xlfn.TEXTJOIN(", ", TRUE, _xlfn.XLOOKUP(--TRIM(D30:G30), --Mapping!$A$2:$A$6, Mapping!$B$2:$B$6)) &amp; "}" &amp; "; //  " &amp; D30 &amp; ",  "  &amp; E30 &amp; ",  "  &amp; F30 &amp; ",  "  &amp; G30</f>
        <v>9'b000_011010: return {3'b001, 3'b111, 3'b001, 3'b111}; //  +1,  -1,  +1,  -1</v>
      </c>
      <c r="U30" s="1" t="str" cm="1">
        <f t="array" ref="U30">"9'b"&amp; _xlfn.XLOOKUP(--TRIM(H$3),--Mapping!$D$2:$D$5,Mapping!$E$2:$E$5) &amp; "_" &amp; $C30 &amp; ": return " &amp; "{" &amp; _xlfn.TEXTJOIN(", ", TRUE, _xlfn.XLOOKUP(--TRIM(H30:K30), --Mapping!$A$2:$A$6, Mapping!$B$2:$B$6)) &amp; "}" &amp; "; //  " &amp; H30 &amp; ",  "  &amp; I30 &amp; ",  "  &amp; J30 &amp; ",  "  &amp; K30</f>
        <v>9'b010_011010: return {3'b001, 3'b111, 3'b000, 3'b110}; //  +1,  -1,  0,  -2</v>
      </c>
      <c r="V30" s="1" t="str" cm="1">
        <f t="array" ref="V30">"9'b"&amp; _xlfn.XLOOKUP(--TRIM(L$3),--Mapping!$D$2:$D$5,Mapping!$E$2:$E$5) &amp; "_" &amp; $C30 &amp; ": return " &amp; "{" &amp; _xlfn.TEXTJOIN(", ", TRUE, _xlfn.XLOOKUP(--TRIM(L30:O30), --Mapping!$A$2:$A$6, Mapping!$B$2:$B$6)) &amp; "}" &amp; "; //  " &amp; L30 &amp; ",  "  &amp; M30 &amp; ",  "  &amp; N30 &amp; ",  "  &amp; O30</f>
        <v>9'b001_011010: return {3'b001, 3'b110, 3'b000, 3'b111}; //  +1,  -2,  0,  -1</v>
      </c>
      <c r="W30" s="1" t="str" cm="1">
        <f t="array" ref="W30">"9'b"&amp; _xlfn.XLOOKUP(--TRIM(P$3),--Mapping!$D$2:$D$5,Mapping!$E$2:$E$5) &amp; "_" &amp; $C30 &amp; ": return " &amp; "{" &amp; _xlfn.TEXTJOIN(", ", TRUE, _xlfn.XLOOKUP(--TRIM(P30:S30), --Mapping!$A$2:$A$6, Mapping!$B$2:$B$6)) &amp; "}" &amp; "; //  " &amp; P30 &amp; ",  "  &amp; Q30 &amp; ",  "  &amp; R30 &amp; ",  "  &amp; S30</f>
        <v>9'b011_011010: return {3'b001, 3'b110, 3'b001, 3'b110}; //  +1,  -2,  +1,  -2</v>
      </c>
    </row>
    <row r="31" spans="1:23" x14ac:dyDescent="0.25">
      <c r="A31" s="1" t="s">
        <v>35</v>
      </c>
      <c r="B31" s="1" t="s">
        <v>108</v>
      </c>
      <c r="C31" s="1" t="s">
        <v>139</v>
      </c>
      <c r="D31" s="1" t="s">
        <v>114</v>
      </c>
      <c r="E31" s="1" t="s">
        <v>114</v>
      </c>
      <c r="F31" s="1" t="s">
        <v>102</v>
      </c>
      <c r="G31" s="1" t="s">
        <v>114</v>
      </c>
      <c r="H31" s="1" t="s">
        <v>114</v>
      </c>
      <c r="I31" s="1" t="s">
        <v>114</v>
      </c>
      <c r="J31" s="1" t="s">
        <v>110</v>
      </c>
      <c r="K31" s="1" t="s">
        <v>112</v>
      </c>
      <c r="L31" s="1" t="s">
        <v>114</v>
      </c>
      <c r="M31" s="1" t="s">
        <v>112</v>
      </c>
      <c r="N31" s="1" t="s">
        <v>110</v>
      </c>
      <c r="O31" s="1" t="s">
        <v>114</v>
      </c>
      <c r="P31" s="1" t="s">
        <v>114</v>
      </c>
      <c r="Q31" s="1" t="s">
        <v>112</v>
      </c>
      <c r="R31" s="1" t="s">
        <v>102</v>
      </c>
      <c r="S31" s="1" t="s">
        <v>112</v>
      </c>
      <c r="T31" s="1" t="str" cm="1">
        <f t="array" ref="T31">"9'b"&amp; _xlfn.XLOOKUP(--TRIM(D$3),--Mapping!$D$2:$D$5,Mapping!$E$2:$E$5) &amp; "_" &amp; $C31 &amp; ": return " &amp; "{" &amp; _xlfn.TEXTJOIN(", ", TRUE, _xlfn.XLOOKUP(--TRIM(D31:G31), --Mapping!$A$2:$A$6, Mapping!$B$2:$B$6)) &amp; "}" &amp; "; //  " &amp; D31 &amp; ",  "  &amp; E31 &amp; ",  "  &amp; F31 &amp; ",  "  &amp; G31</f>
        <v>9'b000_011011: return {3'b111, 3'b111, 3'b001, 3'b111}; //  -1,  -1,  +1,  -1</v>
      </c>
      <c r="U31" s="1" t="str" cm="1">
        <f t="array" ref="U31">"9'b"&amp; _xlfn.XLOOKUP(--TRIM(H$3),--Mapping!$D$2:$D$5,Mapping!$E$2:$E$5) &amp; "_" &amp; $C31 &amp; ": return " &amp; "{" &amp; _xlfn.TEXTJOIN(", ", TRUE, _xlfn.XLOOKUP(--TRIM(H31:K31), --Mapping!$A$2:$A$6, Mapping!$B$2:$B$6)) &amp; "}" &amp; "; //  " &amp; H31 &amp; ",  "  &amp; I31 &amp; ",  "  &amp; J31 &amp; ",  "  &amp; K31</f>
        <v>9'b010_011011: return {3'b111, 3'b111, 3'b000, 3'b110}; //  -1,  -1,  0,  -2</v>
      </c>
      <c r="V31" s="1" t="str" cm="1">
        <f t="array" ref="V31">"9'b"&amp; _xlfn.XLOOKUP(--TRIM(L$3),--Mapping!$D$2:$D$5,Mapping!$E$2:$E$5) &amp; "_" &amp; $C31 &amp; ": return " &amp; "{" &amp; _xlfn.TEXTJOIN(", ", TRUE, _xlfn.XLOOKUP(--TRIM(L31:O31), --Mapping!$A$2:$A$6, Mapping!$B$2:$B$6)) &amp; "}" &amp; "; //  " &amp; L31 &amp; ",  "  &amp; M31 &amp; ",  "  &amp; N31 &amp; ",  "  &amp; O31</f>
        <v>9'b001_011011: return {3'b111, 3'b110, 3'b000, 3'b111}; //  -1,  -2,  0,  -1</v>
      </c>
      <c r="W31" s="1" t="str" cm="1">
        <f t="array" ref="W31">"9'b"&amp; _xlfn.XLOOKUP(--TRIM(P$3),--Mapping!$D$2:$D$5,Mapping!$E$2:$E$5) &amp; "_" &amp; $C31 &amp; ": return " &amp; "{" &amp; _xlfn.TEXTJOIN(", ", TRUE, _xlfn.XLOOKUP(--TRIM(P31:S31), --Mapping!$A$2:$A$6, Mapping!$B$2:$B$6)) &amp; "}" &amp; "; //  " &amp; P31 &amp; ",  "  &amp; Q31 &amp; ",  "  &amp; R31 &amp; ",  "  &amp; S31</f>
        <v>9'b011_011011: return {3'b111, 3'b110, 3'b001, 3'b110}; //  -1,  -2,  +1,  -2</v>
      </c>
    </row>
    <row r="32" spans="1:23" x14ac:dyDescent="0.25">
      <c r="A32" s="1" t="s">
        <v>36</v>
      </c>
      <c r="B32" s="1" t="s">
        <v>108</v>
      </c>
      <c r="C32" s="1" t="s">
        <v>140</v>
      </c>
      <c r="D32" s="1" t="s">
        <v>102</v>
      </c>
      <c r="E32" s="1" t="s">
        <v>102</v>
      </c>
      <c r="F32" s="1" t="s">
        <v>114</v>
      </c>
      <c r="G32" s="1" t="s">
        <v>114</v>
      </c>
      <c r="H32" s="1" t="s">
        <v>102</v>
      </c>
      <c r="I32" s="1" t="s">
        <v>102</v>
      </c>
      <c r="J32" s="1" t="s">
        <v>112</v>
      </c>
      <c r="K32" s="1" t="s">
        <v>112</v>
      </c>
      <c r="L32" s="1" t="s">
        <v>102</v>
      </c>
      <c r="M32" s="1" t="s">
        <v>110</v>
      </c>
      <c r="N32" s="1" t="s">
        <v>112</v>
      </c>
      <c r="O32" s="1" t="s">
        <v>114</v>
      </c>
      <c r="P32" s="1" t="s">
        <v>102</v>
      </c>
      <c r="Q32" s="1" t="s">
        <v>110</v>
      </c>
      <c r="R32" s="1" t="s">
        <v>114</v>
      </c>
      <c r="S32" s="1" t="s">
        <v>112</v>
      </c>
      <c r="T32" s="1" t="str" cm="1">
        <f t="array" ref="T32">"9'b"&amp; _xlfn.XLOOKUP(--TRIM(D$3),--Mapping!$D$2:$D$5,Mapping!$E$2:$E$5) &amp; "_" &amp; $C32 &amp; ": return " &amp; "{" &amp; _xlfn.TEXTJOIN(", ", TRUE, _xlfn.XLOOKUP(--TRIM(D32:G32), --Mapping!$A$2:$A$6, Mapping!$B$2:$B$6)) &amp; "}" &amp; "; //  " &amp; D32 &amp; ",  "  &amp; E32 &amp; ",  "  &amp; F32 &amp; ",  "  &amp; G32</f>
        <v>9'b000_011100: return {3'b001, 3'b001, 3'b111, 3'b111}; //  +1,  +1,  -1,  -1</v>
      </c>
      <c r="U32" s="1" t="str" cm="1">
        <f t="array" ref="U32">"9'b"&amp; _xlfn.XLOOKUP(--TRIM(H$3),--Mapping!$D$2:$D$5,Mapping!$E$2:$E$5) &amp; "_" &amp; $C32 &amp; ": return " &amp; "{" &amp; _xlfn.TEXTJOIN(", ", TRUE, _xlfn.XLOOKUP(--TRIM(H32:K32), --Mapping!$A$2:$A$6, Mapping!$B$2:$B$6)) &amp; "}" &amp; "; //  " &amp; H32 &amp; ",  "  &amp; I32 &amp; ",  "  &amp; J32 &amp; ",  "  &amp; K32</f>
        <v>9'b010_011100: return {3'b001, 3'b001, 3'b110, 3'b110}; //  +1,  +1,  -2,  -2</v>
      </c>
      <c r="V32" s="1" t="str" cm="1">
        <f t="array" ref="V32">"9'b"&amp; _xlfn.XLOOKUP(--TRIM(L$3),--Mapping!$D$2:$D$5,Mapping!$E$2:$E$5) &amp; "_" &amp; $C32 &amp; ": return " &amp; "{" &amp; _xlfn.TEXTJOIN(", ", TRUE, _xlfn.XLOOKUP(--TRIM(L32:O32), --Mapping!$A$2:$A$6, Mapping!$B$2:$B$6)) &amp; "}" &amp; "; //  " &amp; L32 &amp; ",  "  &amp; M32 &amp; ",  "  &amp; N32 &amp; ",  "  &amp; O32</f>
        <v>9'b001_011100: return {3'b001, 3'b000, 3'b110, 3'b111}; //  +1,  0,  -2,  -1</v>
      </c>
      <c r="W32" s="1" t="str" cm="1">
        <f t="array" ref="W32">"9'b"&amp; _xlfn.XLOOKUP(--TRIM(P$3),--Mapping!$D$2:$D$5,Mapping!$E$2:$E$5) &amp; "_" &amp; $C32 &amp; ": return " &amp; "{" &amp; _xlfn.TEXTJOIN(", ", TRUE, _xlfn.XLOOKUP(--TRIM(P32:S32), --Mapping!$A$2:$A$6, Mapping!$B$2:$B$6)) &amp; "}" &amp; "; //  " &amp; P32 &amp; ",  "  &amp; Q32 &amp; ",  "  &amp; R32 &amp; ",  "  &amp; S32</f>
        <v>9'b011_011100: return {3'b001, 3'b000, 3'b111, 3'b110}; //  +1,  0,  -1,  -2</v>
      </c>
    </row>
    <row r="33" spans="1:23" x14ac:dyDescent="0.25">
      <c r="A33" s="1" t="s">
        <v>37</v>
      </c>
      <c r="B33" s="1" t="s">
        <v>108</v>
      </c>
      <c r="C33" s="1" t="s">
        <v>141</v>
      </c>
      <c r="D33" s="1" t="s">
        <v>114</v>
      </c>
      <c r="E33" s="1" t="s">
        <v>102</v>
      </c>
      <c r="F33" s="1" t="s">
        <v>114</v>
      </c>
      <c r="G33" s="1" t="s">
        <v>114</v>
      </c>
      <c r="H33" s="1" t="s">
        <v>114</v>
      </c>
      <c r="I33" s="1" t="s">
        <v>102</v>
      </c>
      <c r="J33" s="1" t="s">
        <v>112</v>
      </c>
      <c r="K33" s="1" t="s">
        <v>112</v>
      </c>
      <c r="L33" s="1" t="s">
        <v>114</v>
      </c>
      <c r="M33" s="1" t="s">
        <v>110</v>
      </c>
      <c r="N33" s="1" t="s">
        <v>112</v>
      </c>
      <c r="O33" s="1" t="s">
        <v>114</v>
      </c>
      <c r="P33" s="1" t="s">
        <v>114</v>
      </c>
      <c r="Q33" s="1" t="s">
        <v>110</v>
      </c>
      <c r="R33" s="1" t="s">
        <v>114</v>
      </c>
      <c r="S33" s="1" t="s">
        <v>112</v>
      </c>
      <c r="T33" s="1" t="str" cm="1">
        <f t="array" ref="T33">"9'b"&amp; _xlfn.XLOOKUP(--TRIM(D$3),--Mapping!$D$2:$D$5,Mapping!$E$2:$E$5) &amp; "_" &amp; $C33 &amp; ": return " &amp; "{" &amp; _xlfn.TEXTJOIN(", ", TRUE, _xlfn.XLOOKUP(--TRIM(D33:G33), --Mapping!$A$2:$A$6, Mapping!$B$2:$B$6)) &amp; "}" &amp; "; //  " &amp; D33 &amp; ",  "  &amp; E33 &amp; ",  "  &amp; F33 &amp; ",  "  &amp; G33</f>
        <v>9'b000_011101: return {3'b111, 3'b001, 3'b111, 3'b111}; //  -1,  +1,  -1,  -1</v>
      </c>
      <c r="U33" s="1" t="str" cm="1">
        <f t="array" ref="U33">"9'b"&amp; _xlfn.XLOOKUP(--TRIM(H$3),--Mapping!$D$2:$D$5,Mapping!$E$2:$E$5) &amp; "_" &amp; $C33 &amp; ": return " &amp; "{" &amp; _xlfn.TEXTJOIN(", ", TRUE, _xlfn.XLOOKUP(--TRIM(H33:K33), --Mapping!$A$2:$A$6, Mapping!$B$2:$B$6)) &amp; "}" &amp; "; //  " &amp; H33 &amp; ",  "  &amp; I33 &amp; ",  "  &amp; J33 &amp; ",  "  &amp; K33</f>
        <v>9'b010_011101: return {3'b111, 3'b001, 3'b110, 3'b110}; //  -1,  +1,  -2,  -2</v>
      </c>
      <c r="V33" s="1" t="str" cm="1">
        <f t="array" ref="V33">"9'b"&amp; _xlfn.XLOOKUP(--TRIM(L$3),--Mapping!$D$2:$D$5,Mapping!$E$2:$E$5) &amp; "_" &amp; $C33 &amp; ": return " &amp; "{" &amp; _xlfn.TEXTJOIN(", ", TRUE, _xlfn.XLOOKUP(--TRIM(L33:O33), --Mapping!$A$2:$A$6, Mapping!$B$2:$B$6)) &amp; "}" &amp; "; //  " &amp; L33 &amp; ",  "  &amp; M33 &amp; ",  "  &amp; N33 &amp; ",  "  &amp; O33</f>
        <v>9'b001_011101: return {3'b111, 3'b000, 3'b110, 3'b111}; //  -1,  0,  -2,  -1</v>
      </c>
      <c r="W33" s="1" t="str" cm="1">
        <f t="array" ref="W33">"9'b"&amp; _xlfn.XLOOKUP(--TRIM(P$3),--Mapping!$D$2:$D$5,Mapping!$E$2:$E$5) &amp; "_" &amp; $C33 &amp; ": return " &amp; "{" &amp; _xlfn.TEXTJOIN(", ", TRUE, _xlfn.XLOOKUP(--TRIM(P33:S33), --Mapping!$A$2:$A$6, Mapping!$B$2:$B$6)) &amp; "}" &amp; "; //  " &amp; P33 &amp; ",  "  &amp; Q33 &amp; ",  "  &amp; R33 &amp; ",  "  &amp; S33</f>
        <v>9'b011_011101: return {3'b111, 3'b000, 3'b111, 3'b110}; //  -1,  0,  -1,  -2</v>
      </c>
    </row>
    <row r="34" spans="1:23" x14ac:dyDescent="0.25">
      <c r="A34" s="1" t="s">
        <v>38</v>
      </c>
      <c r="B34" s="1" t="s">
        <v>108</v>
      </c>
      <c r="C34" s="1" t="s">
        <v>142</v>
      </c>
      <c r="D34" s="1" t="s">
        <v>102</v>
      </c>
      <c r="E34" s="1" t="s">
        <v>114</v>
      </c>
      <c r="F34" s="1" t="s">
        <v>114</v>
      </c>
      <c r="G34" s="1" t="s">
        <v>114</v>
      </c>
      <c r="H34" s="1" t="s">
        <v>102</v>
      </c>
      <c r="I34" s="1" t="s">
        <v>114</v>
      </c>
      <c r="J34" s="1" t="s">
        <v>112</v>
      </c>
      <c r="K34" s="1" t="s">
        <v>112</v>
      </c>
      <c r="L34" s="1" t="s">
        <v>102</v>
      </c>
      <c r="M34" s="1" t="s">
        <v>112</v>
      </c>
      <c r="N34" s="1" t="s">
        <v>112</v>
      </c>
      <c r="O34" s="1" t="s">
        <v>114</v>
      </c>
      <c r="P34" s="1" t="s">
        <v>102</v>
      </c>
      <c r="Q34" s="1" t="s">
        <v>112</v>
      </c>
      <c r="R34" s="1" t="s">
        <v>114</v>
      </c>
      <c r="S34" s="1" t="s">
        <v>112</v>
      </c>
      <c r="T34" s="1" t="str" cm="1">
        <f t="array" ref="T34">"9'b"&amp; _xlfn.XLOOKUP(--TRIM(D$3),--Mapping!$D$2:$D$5,Mapping!$E$2:$E$5) &amp; "_" &amp; $C34 &amp; ": return " &amp; "{" &amp; _xlfn.TEXTJOIN(", ", TRUE, _xlfn.XLOOKUP(--TRIM(D34:G34), --Mapping!$A$2:$A$6, Mapping!$B$2:$B$6)) &amp; "}" &amp; "; //  " &amp; D34 &amp; ",  "  &amp; E34 &amp; ",  "  &amp; F34 &amp; ",  "  &amp; G34</f>
        <v>9'b000_011110: return {3'b001, 3'b111, 3'b111, 3'b111}; //  +1,  -1,  -1,  -1</v>
      </c>
      <c r="U34" s="1" t="str" cm="1">
        <f t="array" ref="U34">"9'b"&amp; _xlfn.XLOOKUP(--TRIM(H$3),--Mapping!$D$2:$D$5,Mapping!$E$2:$E$5) &amp; "_" &amp; $C34 &amp; ": return " &amp; "{" &amp; _xlfn.TEXTJOIN(", ", TRUE, _xlfn.XLOOKUP(--TRIM(H34:K34), --Mapping!$A$2:$A$6, Mapping!$B$2:$B$6)) &amp; "}" &amp; "; //  " &amp; H34 &amp; ",  "  &amp; I34 &amp; ",  "  &amp; J34 &amp; ",  "  &amp; K34</f>
        <v>9'b010_011110: return {3'b001, 3'b111, 3'b110, 3'b110}; //  +1,  -1,  -2,  -2</v>
      </c>
      <c r="V34" s="1" t="str" cm="1">
        <f t="array" ref="V34">"9'b"&amp; _xlfn.XLOOKUP(--TRIM(L$3),--Mapping!$D$2:$D$5,Mapping!$E$2:$E$5) &amp; "_" &amp; $C34 &amp; ": return " &amp; "{" &amp; _xlfn.TEXTJOIN(", ", TRUE, _xlfn.XLOOKUP(--TRIM(L34:O34), --Mapping!$A$2:$A$6, Mapping!$B$2:$B$6)) &amp; "}" &amp; "; //  " &amp; L34 &amp; ",  "  &amp; M34 &amp; ",  "  &amp; N34 &amp; ",  "  &amp; O34</f>
        <v>9'b001_011110: return {3'b001, 3'b110, 3'b110, 3'b111}; //  +1,  -2,  -2,  -1</v>
      </c>
      <c r="W34" s="1" t="str" cm="1">
        <f t="array" ref="W34">"9'b"&amp; _xlfn.XLOOKUP(--TRIM(P$3),--Mapping!$D$2:$D$5,Mapping!$E$2:$E$5) &amp; "_" &amp; $C34 &amp; ": return " &amp; "{" &amp; _xlfn.TEXTJOIN(", ", TRUE, _xlfn.XLOOKUP(--TRIM(P34:S34), --Mapping!$A$2:$A$6, Mapping!$B$2:$B$6)) &amp; "}" &amp; "; //  " &amp; P34 &amp; ",  "  &amp; Q34 &amp; ",  "  &amp; R34 &amp; ",  "  &amp; S34</f>
        <v>9'b011_011110: return {3'b001, 3'b110, 3'b111, 3'b110}; //  +1,  -2,  -1,  -2</v>
      </c>
    </row>
    <row r="35" spans="1:23" x14ac:dyDescent="0.25">
      <c r="A35" s="1" t="s">
        <v>39</v>
      </c>
      <c r="B35" s="1" t="s">
        <v>108</v>
      </c>
      <c r="C35" s="1" t="s">
        <v>143</v>
      </c>
      <c r="D35" s="1" t="s">
        <v>114</v>
      </c>
      <c r="E35" s="1" t="s">
        <v>114</v>
      </c>
      <c r="F35" s="1" t="s">
        <v>114</v>
      </c>
      <c r="G35" s="1" t="s">
        <v>114</v>
      </c>
      <c r="H35" s="1" t="s">
        <v>114</v>
      </c>
      <c r="I35" s="1" t="s">
        <v>114</v>
      </c>
      <c r="J35" s="1" t="s">
        <v>112</v>
      </c>
      <c r="K35" s="1" t="s">
        <v>112</v>
      </c>
      <c r="L35" s="1" t="s">
        <v>114</v>
      </c>
      <c r="M35" s="1" t="s">
        <v>112</v>
      </c>
      <c r="N35" s="1" t="s">
        <v>112</v>
      </c>
      <c r="O35" s="1" t="s">
        <v>114</v>
      </c>
      <c r="P35" s="1" t="s">
        <v>114</v>
      </c>
      <c r="Q35" s="1" t="s">
        <v>112</v>
      </c>
      <c r="R35" s="1" t="s">
        <v>114</v>
      </c>
      <c r="S35" s="1" t="s">
        <v>112</v>
      </c>
      <c r="T35" s="1" t="str" cm="1">
        <f t="array" ref="T35">"9'b"&amp; _xlfn.XLOOKUP(--TRIM(D$3),--Mapping!$D$2:$D$5,Mapping!$E$2:$E$5) &amp; "_" &amp; $C35 &amp; ": return " &amp; "{" &amp; _xlfn.TEXTJOIN(", ", TRUE, _xlfn.XLOOKUP(--TRIM(D35:G35), --Mapping!$A$2:$A$6, Mapping!$B$2:$B$6)) &amp; "}" &amp; "; //  " &amp; D35 &amp; ",  "  &amp; E35 &amp; ",  "  &amp; F35 &amp; ",  "  &amp; G35</f>
        <v>9'b000_011111: return {3'b111, 3'b111, 3'b111, 3'b111}; //  -1,  -1,  -1,  -1</v>
      </c>
      <c r="U35" s="1" t="str" cm="1">
        <f t="array" ref="U35">"9'b"&amp; _xlfn.XLOOKUP(--TRIM(H$3),--Mapping!$D$2:$D$5,Mapping!$E$2:$E$5) &amp; "_" &amp; $C35 &amp; ": return " &amp; "{" &amp; _xlfn.TEXTJOIN(", ", TRUE, _xlfn.XLOOKUP(--TRIM(H35:K35), --Mapping!$A$2:$A$6, Mapping!$B$2:$B$6)) &amp; "}" &amp; "; //  " &amp; H35 &amp; ",  "  &amp; I35 &amp; ",  "  &amp; J35 &amp; ",  "  &amp; K35</f>
        <v>9'b010_011111: return {3'b111, 3'b111, 3'b110, 3'b110}; //  -1,  -1,  -2,  -2</v>
      </c>
      <c r="V35" s="1" t="str" cm="1">
        <f t="array" ref="V35">"9'b"&amp; _xlfn.XLOOKUP(--TRIM(L$3),--Mapping!$D$2:$D$5,Mapping!$E$2:$E$5) &amp; "_" &amp; $C35 &amp; ": return " &amp; "{" &amp; _xlfn.TEXTJOIN(", ", TRUE, _xlfn.XLOOKUP(--TRIM(L35:O35), --Mapping!$A$2:$A$6, Mapping!$B$2:$B$6)) &amp; "}" &amp; "; //  " &amp; L35 &amp; ",  "  &amp; M35 &amp; ",  "  &amp; N35 &amp; ",  "  &amp; O35</f>
        <v>9'b001_011111: return {3'b111, 3'b110, 3'b110, 3'b111}; //  -1,  -2,  -2,  -1</v>
      </c>
      <c r="W35" s="1" t="str" cm="1">
        <f t="array" ref="W35">"9'b"&amp; _xlfn.XLOOKUP(--TRIM(P$3),--Mapping!$D$2:$D$5,Mapping!$E$2:$E$5) &amp; "_" &amp; $C35 &amp; ": return " &amp; "{" &amp; _xlfn.TEXTJOIN(", ", TRUE, _xlfn.XLOOKUP(--TRIM(P35:S35), --Mapping!$A$2:$A$6, Mapping!$B$2:$B$6)) &amp; "}" &amp; "; //  " &amp; P35 &amp; ",  "  &amp; Q35 &amp; ",  "  &amp; R35 &amp; ",  "  &amp; S35</f>
        <v>9'b011_011111: return {3'b111, 3'b110, 3'b111, 3'b110}; //  -1,  -2,  -1,  -2</v>
      </c>
    </row>
    <row r="36" spans="1:23" x14ac:dyDescent="0.25">
      <c r="A36" s="1" t="s">
        <v>40</v>
      </c>
      <c r="B36" s="1" t="s">
        <v>108</v>
      </c>
      <c r="C36" s="1" t="s">
        <v>144</v>
      </c>
      <c r="D36" s="1" t="s">
        <v>101</v>
      </c>
      <c r="E36" s="1" t="s">
        <v>110</v>
      </c>
      <c r="F36" s="1" t="s">
        <v>110</v>
      </c>
      <c r="G36" s="1" t="s">
        <v>110</v>
      </c>
      <c r="H36" s="1" t="s">
        <v>101</v>
      </c>
      <c r="I36" s="1" t="s">
        <v>110</v>
      </c>
      <c r="J36" s="1" t="s">
        <v>102</v>
      </c>
      <c r="K36" s="1" t="s">
        <v>102</v>
      </c>
      <c r="L36" s="1" t="s">
        <v>101</v>
      </c>
      <c r="M36" s="1" t="s">
        <v>102</v>
      </c>
      <c r="N36" s="1" t="s">
        <v>102</v>
      </c>
      <c r="O36" s="1" t="s">
        <v>110</v>
      </c>
      <c r="P36" s="1" t="s">
        <v>101</v>
      </c>
      <c r="Q36" s="1" t="s">
        <v>102</v>
      </c>
      <c r="R36" s="1" t="s">
        <v>110</v>
      </c>
      <c r="S36" s="1" t="s">
        <v>102</v>
      </c>
      <c r="T36" s="1" t="str" cm="1">
        <f t="array" ref="T36">"9'b"&amp; _xlfn.XLOOKUP(--TRIM(D$3),--Mapping!$D$2:$D$5,Mapping!$E$2:$E$5) &amp; "_" &amp; $C36 &amp; ": return " &amp; "{" &amp; _xlfn.TEXTJOIN(", ", TRUE, _xlfn.XLOOKUP(--TRIM(D36:G36), --Mapping!$A$2:$A$6, Mapping!$B$2:$B$6)) &amp; "}" &amp; "; //  " &amp; D36 &amp; ",  "  &amp; E36 &amp; ",  "  &amp; F36 &amp; ",  "  &amp; G36</f>
        <v>9'b000_100000: return {3'b010, 3'b000, 3'b000, 3'b000}; //  +2,  0,  0,  0</v>
      </c>
      <c r="U36" s="1" t="str" cm="1">
        <f t="array" ref="U36">"9'b"&amp; _xlfn.XLOOKUP(--TRIM(H$3),--Mapping!$D$2:$D$5,Mapping!$E$2:$E$5) &amp; "_" &amp; $C36 &amp; ": return " &amp; "{" &amp; _xlfn.TEXTJOIN(", ", TRUE, _xlfn.XLOOKUP(--TRIM(H36:K36), --Mapping!$A$2:$A$6, Mapping!$B$2:$B$6)) &amp; "}" &amp; "; //  " &amp; H36 &amp; ",  "  &amp; I36 &amp; ",  "  &amp; J36 &amp; ",  "  &amp; K36</f>
        <v>9'b010_100000: return {3'b010, 3'b000, 3'b001, 3'b001}; //  +2,  0,  +1,  +1</v>
      </c>
      <c r="V36" s="1" t="str" cm="1">
        <f t="array" ref="V36">"9'b"&amp; _xlfn.XLOOKUP(--TRIM(L$3),--Mapping!$D$2:$D$5,Mapping!$E$2:$E$5) &amp; "_" &amp; $C36 &amp; ": return " &amp; "{" &amp; _xlfn.TEXTJOIN(", ", TRUE, _xlfn.XLOOKUP(--TRIM(L36:O36), --Mapping!$A$2:$A$6, Mapping!$B$2:$B$6)) &amp; "}" &amp; "; //  " &amp; L36 &amp; ",  "  &amp; M36 &amp; ",  "  &amp; N36 &amp; ",  "  &amp; O36</f>
        <v>9'b001_100000: return {3'b010, 3'b001, 3'b001, 3'b000}; //  +2,  +1,  +1,  0</v>
      </c>
      <c r="W36" s="1" t="str" cm="1">
        <f t="array" ref="W36">"9'b"&amp; _xlfn.XLOOKUP(--TRIM(P$3),--Mapping!$D$2:$D$5,Mapping!$E$2:$E$5) &amp; "_" &amp; $C36 &amp; ": return " &amp; "{" &amp; _xlfn.TEXTJOIN(", ", TRUE, _xlfn.XLOOKUP(--TRIM(P36:S36), --Mapping!$A$2:$A$6, Mapping!$B$2:$B$6)) &amp; "}" &amp; "; //  " &amp; P36 &amp; ",  "  &amp; Q36 &amp; ",  "  &amp; R36 &amp; ",  "  &amp; S36</f>
        <v>9'b011_100000: return {3'b010, 3'b001, 3'b000, 3'b001}; //  +2,  +1,  0,  +1</v>
      </c>
    </row>
    <row r="37" spans="1:23" x14ac:dyDescent="0.25">
      <c r="A37" s="1" t="s">
        <v>41</v>
      </c>
      <c r="B37" s="1" t="s">
        <v>108</v>
      </c>
      <c r="C37" s="1" t="s">
        <v>145</v>
      </c>
      <c r="D37" s="1" t="s">
        <v>101</v>
      </c>
      <c r="E37" s="1" t="s">
        <v>112</v>
      </c>
      <c r="F37" s="1" t="s">
        <v>110</v>
      </c>
      <c r="G37" s="1" t="s">
        <v>110</v>
      </c>
      <c r="H37" s="1" t="s">
        <v>101</v>
      </c>
      <c r="I37" s="1" t="s">
        <v>112</v>
      </c>
      <c r="J37" s="1" t="s">
        <v>102</v>
      </c>
      <c r="K37" s="1" t="s">
        <v>102</v>
      </c>
      <c r="L37" s="1" t="s">
        <v>101</v>
      </c>
      <c r="M37" s="1" t="s">
        <v>114</v>
      </c>
      <c r="N37" s="1" t="s">
        <v>102</v>
      </c>
      <c r="O37" s="1" t="s">
        <v>110</v>
      </c>
      <c r="P37" s="1" t="s">
        <v>101</v>
      </c>
      <c r="Q37" s="1" t="s">
        <v>114</v>
      </c>
      <c r="R37" s="1" t="s">
        <v>110</v>
      </c>
      <c r="S37" s="1" t="s">
        <v>102</v>
      </c>
      <c r="T37" s="1" t="str" cm="1">
        <f t="array" ref="T37">"9'b"&amp; _xlfn.XLOOKUP(--TRIM(D$3),--Mapping!$D$2:$D$5,Mapping!$E$2:$E$5) &amp; "_" &amp; $C37 &amp; ": return " &amp; "{" &amp; _xlfn.TEXTJOIN(", ", TRUE, _xlfn.XLOOKUP(--TRIM(D37:G37), --Mapping!$A$2:$A$6, Mapping!$B$2:$B$6)) &amp; "}" &amp; "; //  " &amp; D37 &amp; ",  "  &amp; E37 &amp; ",  "  &amp; F37 &amp; ",  "  &amp; G37</f>
        <v>9'b000_100001: return {3'b010, 3'b110, 3'b000, 3'b000}; //  +2,  -2,  0,  0</v>
      </c>
      <c r="U37" s="1" t="str" cm="1">
        <f t="array" ref="U37">"9'b"&amp; _xlfn.XLOOKUP(--TRIM(H$3),--Mapping!$D$2:$D$5,Mapping!$E$2:$E$5) &amp; "_" &amp; $C37 &amp; ": return " &amp; "{" &amp; _xlfn.TEXTJOIN(", ", TRUE, _xlfn.XLOOKUP(--TRIM(H37:K37), --Mapping!$A$2:$A$6, Mapping!$B$2:$B$6)) &amp; "}" &amp; "; //  " &amp; H37 &amp; ",  "  &amp; I37 &amp; ",  "  &amp; J37 &amp; ",  "  &amp; K37</f>
        <v>9'b010_100001: return {3'b010, 3'b110, 3'b001, 3'b001}; //  +2,  -2,  +1,  +1</v>
      </c>
      <c r="V37" s="1" t="str" cm="1">
        <f t="array" ref="V37">"9'b"&amp; _xlfn.XLOOKUP(--TRIM(L$3),--Mapping!$D$2:$D$5,Mapping!$E$2:$E$5) &amp; "_" &amp; $C37 &amp; ": return " &amp; "{" &amp; _xlfn.TEXTJOIN(", ", TRUE, _xlfn.XLOOKUP(--TRIM(L37:O37), --Mapping!$A$2:$A$6, Mapping!$B$2:$B$6)) &amp; "}" &amp; "; //  " &amp; L37 &amp; ",  "  &amp; M37 &amp; ",  "  &amp; N37 &amp; ",  "  &amp; O37</f>
        <v>9'b001_100001: return {3'b010, 3'b111, 3'b001, 3'b000}; //  +2,  -1,  +1,  0</v>
      </c>
      <c r="W37" s="1" t="str" cm="1">
        <f t="array" ref="W37">"9'b"&amp; _xlfn.XLOOKUP(--TRIM(P$3),--Mapping!$D$2:$D$5,Mapping!$E$2:$E$5) &amp; "_" &amp; $C37 &amp; ": return " &amp; "{" &amp; _xlfn.TEXTJOIN(", ", TRUE, _xlfn.XLOOKUP(--TRIM(P37:S37), --Mapping!$A$2:$A$6, Mapping!$B$2:$B$6)) &amp; "}" &amp; "; //  " &amp; P37 &amp; ",  "  &amp; Q37 &amp; ",  "  &amp; R37 &amp; ",  "  &amp; S37</f>
        <v>9'b011_100001: return {3'b010, 3'b111, 3'b000, 3'b001}; //  +2,  -1,  0,  +1</v>
      </c>
    </row>
    <row r="38" spans="1:23" x14ac:dyDescent="0.25">
      <c r="A38" s="1" t="s">
        <v>42</v>
      </c>
      <c r="B38" s="1" t="s">
        <v>108</v>
      </c>
      <c r="C38" s="1" t="s">
        <v>146</v>
      </c>
      <c r="D38" s="1" t="s">
        <v>101</v>
      </c>
      <c r="E38" s="1" t="s">
        <v>110</v>
      </c>
      <c r="F38" s="1" t="s">
        <v>112</v>
      </c>
      <c r="G38" s="1" t="s">
        <v>110</v>
      </c>
      <c r="H38" s="1" t="s">
        <v>101</v>
      </c>
      <c r="I38" s="1" t="s">
        <v>110</v>
      </c>
      <c r="J38" s="1" t="s">
        <v>114</v>
      </c>
      <c r="K38" s="1" t="s">
        <v>102</v>
      </c>
      <c r="L38" s="1" t="s">
        <v>101</v>
      </c>
      <c r="M38" s="1" t="s">
        <v>102</v>
      </c>
      <c r="N38" s="1" t="s">
        <v>114</v>
      </c>
      <c r="O38" s="1" t="s">
        <v>110</v>
      </c>
      <c r="P38" s="1" t="s">
        <v>101</v>
      </c>
      <c r="Q38" s="1" t="s">
        <v>102</v>
      </c>
      <c r="R38" s="1" t="s">
        <v>112</v>
      </c>
      <c r="S38" s="1" t="s">
        <v>102</v>
      </c>
      <c r="T38" s="1" t="str" cm="1">
        <f t="array" ref="T38">"9'b"&amp; _xlfn.XLOOKUP(--TRIM(D$3),--Mapping!$D$2:$D$5,Mapping!$E$2:$E$5) &amp; "_" &amp; $C38 &amp; ": return " &amp; "{" &amp; _xlfn.TEXTJOIN(", ", TRUE, _xlfn.XLOOKUP(--TRIM(D38:G38), --Mapping!$A$2:$A$6, Mapping!$B$2:$B$6)) &amp; "}" &amp; "; //  " &amp; D38 &amp; ",  "  &amp; E38 &amp; ",  "  &amp; F38 &amp; ",  "  &amp; G38</f>
        <v>9'b000_100010: return {3'b010, 3'b000, 3'b110, 3'b000}; //  +2,  0,  -2,  0</v>
      </c>
      <c r="U38" s="1" t="str" cm="1">
        <f t="array" ref="U38">"9'b"&amp; _xlfn.XLOOKUP(--TRIM(H$3),--Mapping!$D$2:$D$5,Mapping!$E$2:$E$5) &amp; "_" &amp; $C38 &amp; ": return " &amp; "{" &amp; _xlfn.TEXTJOIN(", ", TRUE, _xlfn.XLOOKUP(--TRIM(H38:K38), --Mapping!$A$2:$A$6, Mapping!$B$2:$B$6)) &amp; "}" &amp; "; //  " &amp; H38 &amp; ",  "  &amp; I38 &amp; ",  "  &amp; J38 &amp; ",  "  &amp; K38</f>
        <v>9'b010_100010: return {3'b010, 3'b000, 3'b111, 3'b001}; //  +2,  0,  -1,  +1</v>
      </c>
      <c r="V38" s="1" t="str" cm="1">
        <f t="array" ref="V38">"9'b"&amp; _xlfn.XLOOKUP(--TRIM(L$3),--Mapping!$D$2:$D$5,Mapping!$E$2:$E$5) &amp; "_" &amp; $C38 &amp; ": return " &amp; "{" &amp; _xlfn.TEXTJOIN(", ", TRUE, _xlfn.XLOOKUP(--TRIM(L38:O38), --Mapping!$A$2:$A$6, Mapping!$B$2:$B$6)) &amp; "}" &amp; "; //  " &amp; L38 &amp; ",  "  &amp; M38 &amp; ",  "  &amp; N38 &amp; ",  "  &amp; O38</f>
        <v>9'b001_100010: return {3'b010, 3'b001, 3'b111, 3'b000}; //  +2,  +1,  -1,  0</v>
      </c>
      <c r="W38" s="1" t="str" cm="1">
        <f t="array" ref="W38">"9'b"&amp; _xlfn.XLOOKUP(--TRIM(P$3),--Mapping!$D$2:$D$5,Mapping!$E$2:$E$5) &amp; "_" &amp; $C38 &amp; ": return " &amp; "{" &amp; _xlfn.TEXTJOIN(", ", TRUE, _xlfn.XLOOKUP(--TRIM(P38:S38), --Mapping!$A$2:$A$6, Mapping!$B$2:$B$6)) &amp; "}" &amp; "; //  " &amp; P38 &amp; ",  "  &amp; Q38 &amp; ",  "  &amp; R38 &amp; ",  "  &amp; S38</f>
        <v>9'b011_100010: return {3'b010, 3'b001, 3'b110, 3'b001}; //  +2,  +1,  -2,  +1</v>
      </c>
    </row>
    <row r="39" spans="1:23" x14ac:dyDescent="0.25">
      <c r="A39" s="1" t="s">
        <v>43</v>
      </c>
      <c r="B39" s="1" t="s">
        <v>108</v>
      </c>
      <c r="C39" s="1" t="s">
        <v>147</v>
      </c>
      <c r="D39" s="1" t="s">
        <v>101</v>
      </c>
      <c r="E39" s="1" t="s">
        <v>112</v>
      </c>
      <c r="F39" s="1" t="s">
        <v>112</v>
      </c>
      <c r="G39" s="1" t="s">
        <v>110</v>
      </c>
      <c r="H39" s="1" t="s">
        <v>101</v>
      </c>
      <c r="I39" s="1" t="s">
        <v>112</v>
      </c>
      <c r="J39" s="1" t="s">
        <v>114</v>
      </c>
      <c r="K39" s="1" t="s">
        <v>102</v>
      </c>
      <c r="L39" s="1" t="s">
        <v>101</v>
      </c>
      <c r="M39" s="1" t="s">
        <v>114</v>
      </c>
      <c r="N39" s="1" t="s">
        <v>114</v>
      </c>
      <c r="O39" s="1" t="s">
        <v>110</v>
      </c>
      <c r="P39" s="1" t="s">
        <v>101</v>
      </c>
      <c r="Q39" s="1" t="s">
        <v>114</v>
      </c>
      <c r="R39" s="1" t="s">
        <v>112</v>
      </c>
      <c r="S39" s="1" t="s">
        <v>102</v>
      </c>
      <c r="T39" s="1" t="str" cm="1">
        <f t="array" ref="T39">"9'b"&amp; _xlfn.XLOOKUP(--TRIM(D$3),--Mapping!$D$2:$D$5,Mapping!$E$2:$E$5) &amp; "_" &amp; $C39 &amp; ": return " &amp; "{" &amp; _xlfn.TEXTJOIN(", ", TRUE, _xlfn.XLOOKUP(--TRIM(D39:G39), --Mapping!$A$2:$A$6, Mapping!$B$2:$B$6)) &amp; "}" &amp; "; //  " &amp; D39 &amp; ",  "  &amp; E39 &amp; ",  "  &amp; F39 &amp; ",  "  &amp; G39</f>
        <v>9'b000_100011: return {3'b010, 3'b110, 3'b110, 3'b000}; //  +2,  -2,  -2,  0</v>
      </c>
      <c r="U39" s="1" t="str" cm="1">
        <f t="array" ref="U39">"9'b"&amp; _xlfn.XLOOKUP(--TRIM(H$3),--Mapping!$D$2:$D$5,Mapping!$E$2:$E$5) &amp; "_" &amp; $C39 &amp; ": return " &amp; "{" &amp; _xlfn.TEXTJOIN(", ", TRUE, _xlfn.XLOOKUP(--TRIM(H39:K39), --Mapping!$A$2:$A$6, Mapping!$B$2:$B$6)) &amp; "}" &amp; "; //  " &amp; H39 &amp; ",  "  &amp; I39 &amp; ",  "  &amp; J39 &amp; ",  "  &amp; K39</f>
        <v>9'b010_100011: return {3'b010, 3'b110, 3'b111, 3'b001}; //  +2,  -2,  -1,  +1</v>
      </c>
      <c r="V39" s="1" t="str" cm="1">
        <f t="array" ref="V39">"9'b"&amp; _xlfn.XLOOKUP(--TRIM(L$3),--Mapping!$D$2:$D$5,Mapping!$E$2:$E$5) &amp; "_" &amp; $C39 &amp; ": return " &amp; "{" &amp; _xlfn.TEXTJOIN(", ", TRUE, _xlfn.XLOOKUP(--TRIM(L39:O39), --Mapping!$A$2:$A$6, Mapping!$B$2:$B$6)) &amp; "}" &amp; "; //  " &amp; L39 &amp; ",  "  &amp; M39 &amp; ",  "  &amp; N39 &amp; ",  "  &amp; O39</f>
        <v>9'b001_100011: return {3'b010, 3'b111, 3'b111, 3'b000}; //  +2,  -1,  -1,  0</v>
      </c>
      <c r="W39" s="1" t="str" cm="1">
        <f t="array" ref="W39">"9'b"&amp; _xlfn.XLOOKUP(--TRIM(P$3),--Mapping!$D$2:$D$5,Mapping!$E$2:$E$5) &amp; "_" &amp; $C39 &amp; ": return " &amp; "{" &amp; _xlfn.TEXTJOIN(", ", TRUE, _xlfn.XLOOKUP(--TRIM(P39:S39), --Mapping!$A$2:$A$6, Mapping!$B$2:$B$6)) &amp; "}" &amp; "; //  " &amp; P39 &amp; ",  "  &amp; Q39 &amp; ",  "  &amp; R39 &amp; ",  "  &amp; S39</f>
        <v>9'b011_100011: return {3'b010, 3'b111, 3'b110, 3'b001}; //  +2,  -1,  -2,  +1</v>
      </c>
    </row>
    <row r="40" spans="1:23" x14ac:dyDescent="0.25">
      <c r="A40" s="1" t="s">
        <v>44</v>
      </c>
      <c r="B40" s="1" t="s">
        <v>108</v>
      </c>
      <c r="C40" s="1" t="s">
        <v>148</v>
      </c>
      <c r="D40" s="1" t="s">
        <v>101</v>
      </c>
      <c r="E40" s="1" t="s">
        <v>110</v>
      </c>
      <c r="F40" s="1" t="s">
        <v>110</v>
      </c>
      <c r="G40" s="1" t="s">
        <v>112</v>
      </c>
      <c r="H40" s="1" t="s">
        <v>101</v>
      </c>
      <c r="I40" s="1" t="s">
        <v>110</v>
      </c>
      <c r="J40" s="1" t="s">
        <v>102</v>
      </c>
      <c r="K40" s="1" t="s">
        <v>114</v>
      </c>
      <c r="L40" s="1" t="s">
        <v>101</v>
      </c>
      <c r="M40" s="1" t="s">
        <v>102</v>
      </c>
      <c r="N40" s="1" t="s">
        <v>102</v>
      </c>
      <c r="O40" s="1" t="s">
        <v>112</v>
      </c>
      <c r="P40" s="1" t="s">
        <v>101</v>
      </c>
      <c r="Q40" s="1" t="s">
        <v>102</v>
      </c>
      <c r="R40" s="1" t="s">
        <v>110</v>
      </c>
      <c r="S40" s="1" t="s">
        <v>114</v>
      </c>
      <c r="T40" s="1" t="str" cm="1">
        <f t="array" ref="T40">"9'b"&amp; _xlfn.XLOOKUP(--TRIM(D$3),--Mapping!$D$2:$D$5,Mapping!$E$2:$E$5) &amp; "_" &amp; $C40 &amp; ": return " &amp; "{" &amp; _xlfn.TEXTJOIN(", ", TRUE, _xlfn.XLOOKUP(--TRIM(D40:G40), --Mapping!$A$2:$A$6, Mapping!$B$2:$B$6)) &amp; "}" &amp; "; //  " &amp; D40 &amp; ",  "  &amp; E40 &amp; ",  "  &amp; F40 &amp; ",  "  &amp; G40</f>
        <v>9'b000_100100: return {3'b010, 3'b000, 3'b000, 3'b110}; //  +2,  0,  0,  -2</v>
      </c>
      <c r="U40" s="1" t="str" cm="1">
        <f t="array" ref="U40">"9'b"&amp; _xlfn.XLOOKUP(--TRIM(H$3),--Mapping!$D$2:$D$5,Mapping!$E$2:$E$5) &amp; "_" &amp; $C40 &amp; ": return " &amp; "{" &amp; _xlfn.TEXTJOIN(", ", TRUE, _xlfn.XLOOKUP(--TRIM(H40:K40), --Mapping!$A$2:$A$6, Mapping!$B$2:$B$6)) &amp; "}" &amp; "; //  " &amp; H40 &amp; ",  "  &amp; I40 &amp; ",  "  &amp; J40 &amp; ",  "  &amp; K40</f>
        <v>9'b010_100100: return {3'b010, 3'b000, 3'b001, 3'b111}; //  +2,  0,  +1,  -1</v>
      </c>
      <c r="V40" s="1" t="str" cm="1">
        <f t="array" ref="V40">"9'b"&amp; _xlfn.XLOOKUP(--TRIM(L$3),--Mapping!$D$2:$D$5,Mapping!$E$2:$E$5) &amp; "_" &amp; $C40 &amp; ": return " &amp; "{" &amp; _xlfn.TEXTJOIN(", ", TRUE, _xlfn.XLOOKUP(--TRIM(L40:O40), --Mapping!$A$2:$A$6, Mapping!$B$2:$B$6)) &amp; "}" &amp; "; //  " &amp; L40 &amp; ",  "  &amp; M40 &amp; ",  "  &amp; N40 &amp; ",  "  &amp; O40</f>
        <v>9'b001_100100: return {3'b010, 3'b001, 3'b001, 3'b110}; //  +2,  +1,  +1,  -2</v>
      </c>
      <c r="W40" s="1" t="str" cm="1">
        <f t="array" ref="W40">"9'b"&amp; _xlfn.XLOOKUP(--TRIM(P$3),--Mapping!$D$2:$D$5,Mapping!$E$2:$E$5) &amp; "_" &amp; $C40 &amp; ": return " &amp; "{" &amp; _xlfn.TEXTJOIN(", ", TRUE, _xlfn.XLOOKUP(--TRIM(P40:S40), --Mapping!$A$2:$A$6, Mapping!$B$2:$B$6)) &amp; "}" &amp; "; //  " &amp; P40 &amp; ",  "  &amp; Q40 &amp; ",  "  &amp; R40 &amp; ",  "  &amp; S40</f>
        <v>9'b011_100100: return {3'b010, 3'b001, 3'b000, 3'b111}; //  +2,  +1,  0,  -1</v>
      </c>
    </row>
    <row r="41" spans="1:23" x14ac:dyDescent="0.25">
      <c r="A41" s="1" t="s">
        <v>45</v>
      </c>
      <c r="B41" s="1" t="s">
        <v>108</v>
      </c>
      <c r="C41" s="1" t="s">
        <v>149</v>
      </c>
      <c r="D41" s="1" t="s">
        <v>101</v>
      </c>
      <c r="E41" s="1" t="s">
        <v>112</v>
      </c>
      <c r="F41" s="1" t="s">
        <v>110</v>
      </c>
      <c r="G41" s="1" t="s">
        <v>112</v>
      </c>
      <c r="H41" s="1" t="s">
        <v>101</v>
      </c>
      <c r="I41" s="1" t="s">
        <v>112</v>
      </c>
      <c r="J41" s="1" t="s">
        <v>102</v>
      </c>
      <c r="K41" s="1" t="s">
        <v>114</v>
      </c>
      <c r="L41" s="1" t="s">
        <v>101</v>
      </c>
      <c r="M41" s="1" t="s">
        <v>114</v>
      </c>
      <c r="N41" s="1" t="s">
        <v>102</v>
      </c>
      <c r="O41" s="1" t="s">
        <v>112</v>
      </c>
      <c r="P41" s="1" t="s">
        <v>101</v>
      </c>
      <c r="Q41" s="1" t="s">
        <v>114</v>
      </c>
      <c r="R41" s="1" t="s">
        <v>110</v>
      </c>
      <c r="S41" s="1" t="s">
        <v>114</v>
      </c>
      <c r="T41" s="1" t="str" cm="1">
        <f t="array" ref="T41">"9'b"&amp; _xlfn.XLOOKUP(--TRIM(D$3),--Mapping!$D$2:$D$5,Mapping!$E$2:$E$5) &amp; "_" &amp; $C41 &amp; ": return " &amp; "{" &amp; _xlfn.TEXTJOIN(", ", TRUE, _xlfn.XLOOKUP(--TRIM(D41:G41), --Mapping!$A$2:$A$6, Mapping!$B$2:$B$6)) &amp; "}" &amp; "; //  " &amp; D41 &amp; ",  "  &amp; E41 &amp; ",  "  &amp; F41 &amp; ",  "  &amp; G41</f>
        <v>9'b000_100101: return {3'b010, 3'b110, 3'b000, 3'b110}; //  +2,  -2,  0,  -2</v>
      </c>
      <c r="U41" s="1" t="str" cm="1">
        <f t="array" ref="U41">"9'b"&amp; _xlfn.XLOOKUP(--TRIM(H$3),--Mapping!$D$2:$D$5,Mapping!$E$2:$E$5) &amp; "_" &amp; $C41 &amp; ": return " &amp; "{" &amp; _xlfn.TEXTJOIN(", ", TRUE, _xlfn.XLOOKUP(--TRIM(H41:K41), --Mapping!$A$2:$A$6, Mapping!$B$2:$B$6)) &amp; "}" &amp; "; //  " &amp; H41 &amp; ",  "  &amp; I41 &amp; ",  "  &amp; J41 &amp; ",  "  &amp; K41</f>
        <v>9'b010_100101: return {3'b010, 3'b110, 3'b001, 3'b111}; //  +2,  -2,  +1,  -1</v>
      </c>
      <c r="V41" s="1" t="str" cm="1">
        <f t="array" ref="V41">"9'b"&amp; _xlfn.XLOOKUP(--TRIM(L$3),--Mapping!$D$2:$D$5,Mapping!$E$2:$E$5) &amp; "_" &amp; $C41 &amp; ": return " &amp; "{" &amp; _xlfn.TEXTJOIN(", ", TRUE, _xlfn.XLOOKUP(--TRIM(L41:O41), --Mapping!$A$2:$A$6, Mapping!$B$2:$B$6)) &amp; "}" &amp; "; //  " &amp; L41 &amp; ",  "  &amp; M41 &amp; ",  "  &amp; N41 &amp; ",  "  &amp; O41</f>
        <v>9'b001_100101: return {3'b010, 3'b111, 3'b001, 3'b110}; //  +2,  -1,  +1,  -2</v>
      </c>
      <c r="W41" s="1" t="str" cm="1">
        <f t="array" ref="W41">"9'b"&amp; _xlfn.XLOOKUP(--TRIM(P$3),--Mapping!$D$2:$D$5,Mapping!$E$2:$E$5) &amp; "_" &amp; $C41 &amp; ": return " &amp; "{" &amp; _xlfn.TEXTJOIN(", ", TRUE, _xlfn.XLOOKUP(--TRIM(P41:S41), --Mapping!$A$2:$A$6, Mapping!$B$2:$B$6)) &amp; "}" &amp; "; //  " &amp; P41 &amp; ",  "  &amp; Q41 &amp; ",  "  &amp; R41 &amp; ",  "  &amp; S41</f>
        <v>9'b011_100101: return {3'b010, 3'b111, 3'b000, 3'b111}; //  +2,  -1,  0,  -1</v>
      </c>
    </row>
    <row r="42" spans="1:23" x14ac:dyDescent="0.25">
      <c r="A42" s="1" t="s">
        <v>46</v>
      </c>
      <c r="B42" s="1" t="s">
        <v>108</v>
      </c>
      <c r="C42" s="1" t="s">
        <v>150</v>
      </c>
      <c r="D42" s="1" t="s">
        <v>101</v>
      </c>
      <c r="E42" s="1" t="s">
        <v>110</v>
      </c>
      <c r="F42" s="1" t="s">
        <v>112</v>
      </c>
      <c r="G42" s="1" t="s">
        <v>112</v>
      </c>
      <c r="H42" s="1" t="s">
        <v>101</v>
      </c>
      <c r="I42" s="1" t="s">
        <v>110</v>
      </c>
      <c r="J42" s="1" t="s">
        <v>114</v>
      </c>
      <c r="K42" s="1" t="s">
        <v>114</v>
      </c>
      <c r="L42" s="1" t="s">
        <v>101</v>
      </c>
      <c r="M42" s="1" t="s">
        <v>102</v>
      </c>
      <c r="N42" s="1" t="s">
        <v>114</v>
      </c>
      <c r="O42" s="1" t="s">
        <v>112</v>
      </c>
      <c r="P42" s="1" t="s">
        <v>101</v>
      </c>
      <c r="Q42" s="1" t="s">
        <v>102</v>
      </c>
      <c r="R42" s="1" t="s">
        <v>112</v>
      </c>
      <c r="S42" s="1" t="s">
        <v>114</v>
      </c>
      <c r="T42" s="1" t="str" cm="1">
        <f t="array" ref="T42">"9'b"&amp; _xlfn.XLOOKUP(--TRIM(D$3),--Mapping!$D$2:$D$5,Mapping!$E$2:$E$5) &amp; "_" &amp; $C42 &amp; ": return " &amp; "{" &amp; _xlfn.TEXTJOIN(", ", TRUE, _xlfn.XLOOKUP(--TRIM(D42:G42), --Mapping!$A$2:$A$6, Mapping!$B$2:$B$6)) &amp; "}" &amp; "; //  " &amp; D42 &amp; ",  "  &amp; E42 &amp; ",  "  &amp; F42 &amp; ",  "  &amp; G42</f>
        <v>9'b000_100110: return {3'b010, 3'b000, 3'b110, 3'b110}; //  +2,  0,  -2,  -2</v>
      </c>
      <c r="U42" s="1" t="str" cm="1">
        <f t="array" ref="U42">"9'b"&amp; _xlfn.XLOOKUP(--TRIM(H$3),--Mapping!$D$2:$D$5,Mapping!$E$2:$E$5) &amp; "_" &amp; $C42 &amp; ": return " &amp; "{" &amp; _xlfn.TEXTJOIN(", ", TRUE, _xlfn.XLOOKUP(--TRIM(H42:K42), --Mapping!$A$2:$A$6, Mapping!$B$2:$B$6)) &amp; "}" &amp; "; //  " &amp; H42 &amp; ",  "  &amp; I42 &amp; ",  "  &amp; J42 &amp; ",  "  &amp; K42</f>
        <v>9'b010_100110: return {3'b010, 3'b000, 3'b111, 3'b111}; //  +2,  0,  -1,  -1</v>
      </c>
      <c r="V42" s="1" t="str" cm="1">
        <f t="array" ref="V42">"9'b"&amp; _xlfn.XLOOKUP(--TRIM(L$3),--Mapping!$D$2:$D$5,Mapping!$E$2:$E$5) &amp; "_" &amp; $C42 &amp; ": return " &amp; "{" &amp; _xlfn.TEXTJOIN(", ", TRUE, _xlfn.XLOOKUP(--TRIM(L42:O42), --Mapping!$A$2:$A$6, Mapping!$B$2:$B$6)) &amp; "}" &amp; "; //  " &amp; L42 &amp; ",  "  &amp; M42 &amp; ",  "  &amp; N42 &amp; ",  "  &amp; O42</f>
        <v>9'b001_100110: return {3'b010, 3'b001, 3'b111, 3'b110}; //  +2,  +1,  -1,  -2</v>
      </c>
      <c r="W42" s="1" t="str" cm="1">
        <f t="array" ref="W42">"9'b"&amp; _xlfn.XLOOKUP(--TRIM(P$3),--Mapping!$D$2:$D$5,Mapping!$E$2:$E$5) &amp; "_" &amp; $C42 &amp; ": return " &amp; "{" &amp; _xlfn.TEXTJOIN(", ", TRUE, _xlfn.XLOOKUP(--TRIM(P42:S42), --Mapping!$A$2:$A$6, Mapping!$B$2:$B$6)) &amp; "}" &amp; "; //  " &amp; P42 &amp; ",  "  &amp; Q42 &amp; ",  "  &amp; R42 &amp; ",  "  &amp; S42</f>
        <v>9'b011_100110: return {3'b010, 3'b001, 3'b110, 3'b111}; //  +2,  +1,  -2,  -1</v>
      </c>
    </row>
    <row r="43" spans="1:23" x14ac:dyDescent="0.25">
      <c r="A43" s="1" t="s">
        <v>47</v>
      </c>
      <c r="B43" s="1" t="s">
        <v>108</v>
      </c>
      <c r="C43" s="1" t="s">
        <v>151</v>
      </c>
      <c r="D43" s="1" t="s">
        <v>101</v>
      </c>
      <c r="E43" s="1" t="s">
        <v>112</v>
      </c>
      <c r="F43" s="1" t="s">
        <v>112</v>
      </c>
      <c r="G43" s="1" t="s">
        <v>112</v>
      </c>
      <c r="H43" s="1" t="s">
        <v>101</v>
      </c>
      <c r="I43" s="1" t="s">
        <v>112</v>
      </c>
      <c r="J43" s="1" t="s">
        <v>114</v>
      </c>
      <c r="K43" s="1" t="s">
        <v>114</v>
      </c>
      <c r="L43" s="1" t="s">
        <v>101</v>
      </c>
      <c r="M43" s="1" t="s">
        <v>114</v>
      </c>
      <c r="N43" s="1" t="s">
        <v>114</v>
      </c>
      <c r="O43" s="1" t="s">
        <v>112</v>
      </c>
      <c r="P43" s="1" t="s">
        <v>101</v>
      </c>
      <c r="Q43" s="1" t="s">
        <v>114</v>
      </c>
      <c r="R43" s="1" t="s">
        <v>112</v>
      </c>
      <c r="S43" s="1" t="s">
        <v>114</v>
      </c>
      <c r="T43" s="1" t="str" cm="1">
        <f t="array" ref="T43">"9'b"&amp; _xlfn.XLOOKUP(--TRIM(D$3),--Mapping!$D$2:$D$5,Mapping!$E$2:$E$5) &amp; "_" &amp; $C43 &amp; ": return " &amp; "{" &amp; _xlfn.TEXTJOIN(", ", TRUE, _xlfn.XLOOKUP(--TRIM(D43:G43), --Mapping!$A$2:$A$6, Mapping!$B$2:$B$6)) &amp; "}" &amp; "; //  " &amp; D43 &amp; ",  "  &amp; E43 &amp; ",  "  &amp; F43 &amp; ",  "  &amp; G43</f>
        <v>9'b000_100111: return {3'b010, 3'b110, 3'b110, 3'b110}; //  +2,  -2,  -2,  -2</v>
      </c>
      <c r="U43" s="1" t="str" cm="1">
        <f t="array" ref="U43">"9'b"&amp; _xlfn.XLOOKUP(--TRIM(H$3),--Mapping!$D$2:$D$5,Mapping!$E$2:$E$5) &amp; "_" &amp; $C43 &amp; ": return " &amp; "{" &amp; _xlfn.TEXTJOIN(", ", TRUE, _xlfn.XLOOKUP(--TRIM(H43:K43), --Mapping!$A$2:$A$6, Mapping!$B$2:$B$6)) &amp; "}" &amp; "; //  " &amp; H43 &amp; ",  "  &amp; I43 &amp; ",  "  &amp; J43 &amp; ",  "  &amp; K43</f>
        <v>9'b010_100111: return {3'b010, 3'b110, 3'b111, 3'b111}; //  +2,  -2,  -1,  -1</v>
      </c>
      <c r="V43" s="1" t="str" cm="1">
        <f t="array" ref="V43">"9'b"&amp; _xlfn.XLOOKUP(--TRIM(L$3),--Mapping!$D$2:$D$5,Mapping!$E$2:$E$5) &amp; "_" &amp; $C43 &amp; ": return " &amp; "{" &amp; _xlfn.TEXTJOIN(", ", TRUE, _xlfn.XLOOKUP(--TRIM(L43:O43), --Mapping!$A$2:$A$6, Mapping!$B$2:$B$6)) &amp; "}" &amp; "; //  " &amp; L43 &amp; ",  "  &amp; M43 &amp; ",  "  &amp; N43 &amp; ",  "  &amp; O43</f>
        <v>9'b001_100111: return {3'b010, 3'b111, 3'b111, 3'b110}; //  +2,  -1,  -1,  -2</v>
      </c>
      <c r="W43" s="1" t="str" cm="1">
        <f t="array" ref="W43">"9'b"&amp; _xlfn.XLOOKUP(--TRIM(P$3),--Mapping!$D$2:$D$5,Mapping!$E$2:$E$5) &amp; "_" &amp; $C43 &amp; ": return " &amp; "{" &amp; _xlfn.TEXTJOIN(", ", TRUE, _xlfn.XLOOKUP(--TRIM(P43:S43), --Mapping!$A$2:$A$6, Mapping!$B$2:$B$6)) &amp; "}" &amp; "; //  " &amp; P43 &amp; ",  "  &amp; Q43 &amp; ",  "  &amp; R43 &amp; ",  "  &amp; S43</f>
        <v>9'b011_100111: return {3'b010, 3'b111, 3'b110, 3'b111}; //  +2,  -1,  -2,  -1</v>
      </c>
    </row>
    <row r="44" spans="1:23" x14ac:dyDescent="0.25">
      <c r="A44" s="1" t="s">
        <v>48</v>
      </c>
      <c r="B44" s="1" t="s">
        <v>108</v>
      </c>
      <c r="C44" s="1" t="s">
        <v>152</v>
      </c>
      <c r="D44" s="1" t="s">
        <v>110</v>
      </c>
      <c r="E44" s="1" t="s">
        <v>110</v>
      </c>
      <c r="F44" s="1" t="s">
        <v>101</v>
      </c>
      <c r="G44" s="1" t="s">
        <v>110</v>
      </c>
      <c r="H44" s="1" t="s">
        <v>102</v>
      </c>
      <c r="I44" s="1" t="s">
        <v>102</v>
      </c>
      <c r="J44" s="1" t="s">
        <v>101</v>
      </c>
      <c r="K44" s="1" t="s">
        <v>110</v>
      </c>
      <c r="L44" s="1" t="s">
        <v>102</v>
      </c>
      <c r="M44" s="1" t="s">
        <v>110</v>
      </c>
      <c r="N44" s="1" t="s">
        <v>101</v>
      </c>
      <c r="O44" s="1" t="s">
        <v>102</v>
      </c>
      <c r="P44" s="1" t="s">
        <v>110</v>
      </c>
      <c r="Q44" s="1" t="s">
        <v>102</v>
      </c>
      <c r="R44" s="1" t="s">
        <v>101</v>
      </c>
      <c r="S44" s="1" t="s">
        <v>102</v>
      </c>
      <c r="T44" s="1" t="str" cm="1">
        <f t="array" ref="T44">"9'b"&amp; _xlfn.XLOOKUP(--TRIM(D$3),--Mapping!$D$2:$D$5,Mapping!$E$2:$E$5) &amp; "_" &amp; $C44 &amp; ": return " &amp; "{" &amp; _xlfn.TEXTJOIN(", ", TRUE, _xlfn.XLOOKUP(--TRIM(D44:G44), --Mapping!$A$2:$A$6, Mapping!$B$2:$B$6)) &amp; "}" &amp; "; //  " &amp; D44 &amp; ",  "  &amp; E44 &amp; ",  "  &amp; F44 &amp; ",  "  &amp; G44</f>
        <v>9'b000_101000: return {3'b000, 3'b000, 3'b010, 3'b000}; //  0,  0,  +2,  0</v>
      </c>
      <c r="U44" s="1" t="str" cm="1">
        <f t="array" ref="U44">"9'b"&amp; _xlfn.XLOOKUP(--TRIM(H$3),--Mapping!$D$2:$D$5,Mapping!$E$2:$E$5) &amp; "_" &amp; $C44 &amp; ": return " &amp; "{" &amp; _xlfn.TEXTJOIN(", ", TRUE, _xlfn.XLOOKUP(--TRIM(H44:K44), --Mapping!$A$2:$A$6, Mapping!$B$2:$B$6)) &amp; "}" &amp; "; //  " &amp; H44 &amp; ",  "  &amp; I44 &amp; ",  "  &amp; J44 &amp; ",  "  &amp; K44</f>
        <v>9'b010_101000: return {3'b001, 3'b001, 3'b010, 3'b000}; //  +1,  +1,  +2,  0</v>
      </c>
      <c r="V44" s="1" t="str" cm="1">
        <f t="array" ref="V44">"9'b"&amp; _xlfn.XLOOKUP(--TRIM(L$3),--Mapping!$D$2:$D$5,Mapping!$E$2:$E$5) &amp; "_" &amp; $C44 &amp; ": return " &amp; "{" &amp; _xlfn.TEXTJOIN(", ", TRUE, _xlfn.XLOOKUP(--TRIM(L44:O44), --Mapping!$A$2:$A$6, Mapping!$B$2:$B$6)) &amp; "}" &amp; "; //  " &amp; L44 &amp; ",  "  &amp; M44 &amp; ",  "  &amp; N44 &amp; ",  "  &amp; O44</f>
        <v>9'b001_101000: return {3'b001, 3'b000, 3'b010, 3'b001}; //  +1,  0,  +2,  +1</v>
      </c>
      <c r="W44" s="1" t="str" cm="1">
        <f t="array" ref="W44">"9'b"&amp; _xlfn.XLOOKUP(--TRIM(P$3),--Mapping!$D$2:$D$5,Mapping!$E$2:$E$5) &amp; "_" &amp; $C44 &amp; ": return " &amp; "{" &amp; _xlfn.TEXTJOIN(", ", TRUE, _xlfn.XLOOKUP(--TRIM(P44:S44), --Mapping!$A$2:$A$6, Mapping!$B$2:$B$6)) &amp; "}" &amp; "; //  " &amp; P44 &amp; ",  "  &amp; Q44 &amp; ",  "  &amp; R44 &amp; ",  "  &amp; S44</f>
        <v>9'b011_101000: return {3'b000, 3'b001, 3'b010, 3'b001}; //  0,  +1,  +2,  +1</v>
      </c>
    </row>
    <row r="45" spans="1:23" x14ac:dyDescent="0.25">
      <c r="A45" s="1" t="s">
        <v>49</v>
      </c>
      <c r="B45" s="1" t="s">
        <v>108</v>
      </c>
      <c r="C45" s="1" t="s">
        <v>153</v>
      </c>
      <c r="D45" s="1" t="s">
        <v>112</v>
      </c>
      <c r="E45" s="1" t="s">
        <v>110</v>
      </c>
      <c r="F45" s="1" t="s">
        <v>101</v>
      </c>
      <c r="G45" s="1" t="s">
        <v>110</v>
      </c>
      <c r="H45" s="1" t="s">
        <v>114</v>
      </c>
      <c r="I45" s="1" t="s">
        <v>102</v>
      </c>
      <c r="J45" s="1" t="s">
        <v>101</v>
      </c>
      <c r="K45" s="1" t="s">
        <v>110</v>
      </c>
      <c r="L45" s="1" t="s">
        <v>114</v>
      </c>
      <c r="M45" s="1" t="s">
        <v>110</v>
      </c>
      <c r="N45" s="1" t="s">
        <v>101</v>
      </c>
      <c r="O45" s="1" t="s">
        <v>102</v>
      </c>
      <c r="P45" s="1" t="s">
        <v>112</v>
      </c>
      <c r="Q45" s="1" t="s">
        <v>102</v>
      </c>
      <c r="R45" s="1" t="s">
        <v>101</v>
      </c>
      <c r="S45" s="1" t="s">
        <v>102</v>
      </c>
      <c r="T45" s="1" t="str" cm="1">
        <f t="array" ref="T45">"9'b"&amp; _xlfn.XLOOKUP(--TRIM(D$3),--Mapping!$D$2:$D$5,Mapping!$E$2:$E$5) &amp; "_" &amp; $C45 &amp; ": return " &amp; "{" &amp; _xlfn.TEXTJOIN(", ", TRUE, _xlfn.XLOOKUP(--TRIM(D45:G45), --Mapping!$A$2:$A$6, Mapping!$B$2:$B$6)) &amp; "}" &amp; "; //  " &amp; D45 &amp; ",  "  &amp; E45 &amp; ",  "  &amp; F45 &amp; ",  "  &amp; G45</f>
        <v>9'b000_101001: return {3'b110, 3'b000, 3'b010, 3'b000}; //  -2,  0,  +2,  0</v>
      </c>
      <c r="U45" s="1" t="str" cm="1">
        <f t="array" ref="U45">"9'b"&amp; _xlfn.XLOOKUP(--TRIM(H$3),--Mapping!$D$2:$D$5,Mapping!$E$2:$E$5) &amp; "_" &amp; $C45 &amp; ": return " &amp; "{" &amp; _xlfn.TEXTJOIN(", ", TRUE, _xlfn.XLOOKUP(--TRIM(H45:K45), --Mapping!$A$2:$A$6, Mapping!$B$2:$B$6)) &amp; "}" &amp; "; //  " &amp; H45 &amp; ",  "  &amp; I45 &amp; ",  "  &amp; J45 &amp; ",  "  &amp; K45</f>
        <v>9'b010_101001: return {3'b111, 3'b001, 3'b010, 3'b000}; //  -1,  +1,  +2,  0</v>
      </c>
      <c r="V45" s="1" t="str" cm="1">
        <f t="array" ref="V45">"9'b"&amp; _xlfn.XLOOKUP(--TRIM(L$3),--Mapping!$D$2:$D$5,Mapping!$E$2:$E$5) &amp; "_" &amp; $C45 &amp; ": return " &amp; "{" &amp; _xlfn.TEXTJOIN(", ", TRUE, _xlfn.XLOOKUP(--TRIM(L45:O45), --Mapping!$A$2:$A$6, Mapping!$B$2:$B$6)) &amp; "}" &amp; "; //  " &amp; L45 &amp; ",  "  &amp; M45 &amp; ",  "  &amp; N45 &amp; ",  "  &amp; O45</f>
        <v>9'b001_101001: return {3'b111, 3'b000, 3'b010, 3'b001}; //  -1,  0,  +2,  +1</v>
      </c>
      <c r="W45" s="1" t="str" cm="1">
        <f t="array" ref="W45">"9'b"&amp; _xlfn.XLOOKUP(--TRIM(P$3),--Mapping!$D$2:$D$5,Mapping!$E$2:$E$5) &amp; "_" &amp; $C45 &amp; ": return " &amp; "{" &amp; _xlfn.TEXTJOIN(", ", TRUE, _xlfn.XLOOKUP(--TRIM(P45:S45), --Mapping!$A$2:$A$6, Mapping!$B$2:$B$6)) &amp; "}" &amp; "; //  " &amp; P45 &amp; ",  "  &amp; Q45 &amp; ",  "  &amp; R45 &amp; ",  "  &amp; S45</f>
        <v>9'b011_101001: return {3'b110, 3'b001, 3'b010, 3'b001}; //  -2,  +1,  +2,  +1</v>
      </c>
    </row>
    <row r="46" spans="1:23" x14ac:dyDescent="0.25">
      <c r="A46" s="1" t="s">
        <v>50</v>
      </c>
      <c r="B46" s="1" t="s">
        <v>108</v>
      </c>
      <c r="C46" s="1" t="s">
        <v>154</v>
      </c>
      <c r="D46" s="1" t="s">
        <v>110</v>
      </c>
      <c r="E46" s="1" t="s">
        <v>112</v>
      </c>
      <c r="F46" s="1" t="s">
        <v>101</v>
      </c>
      <c r="G46" s="1" t="s">
        <v>110</v>
      </c>
      <c r="H46" s="1" t="s">
        <v>102</v>
      </c>
      <c r="I46" s="1" t="s">
        <v>114</v>
      </c>
      <c r="J46" s="1" t="s">
        <v>101</v>
      </c>
      <c r="K46" s="1" t="s">
        <v>110</v>
      </c>
      <c r="L46" s="1" t="s">
        <v>102</v>
      </c>
      <c r="M46" s="1" t="s">
        <v>112</v>
      </c>
      <c r="N46" s="1" t="s">
        <v>101</v>
      </c>
      <c r="O46" s="1" t="s">
        <v>102</v>
      </c>
      <c r="P46" s="1" t="s">
        <v>110</v>
      </c>
      <c r="Q46" s="1" t="s">
        <v>114</v>
      </c>
      <c r="R46" s="1" t="s">
        <v>101</v>
      </c>
      <c r="S46" s="1" t="s">
        <v>102</v>
      </c>
      <c r="T46" s="1" t="str" cm="1">
        <f t="array" ref="T46">"9'b"&amp; _xlfn.XLOOKUP(--TRIM(D$3),--Mapping!$D$2:$D$5,Mapping!$E$2:$E$5) &amp; "_" &amp; $C46 &amp; ": return " &amp; "{" &amp; _xlfn.TEXTJOIN(", ", TRUE, _xlfn.XLOOKUP(--TRIM(D46:G46), --Mapping!$A$2:$A$6, Mapping!$B$2:$B$6)) &amp; "}" &amp; "; //  " &amp; D46 &amp; ",  "  &amp; E46 &amp; ",  "  &amp; F46 &amp; ",  "  &amp; G46</f>
        <v>9'b000_101010: return {3'b000, 3'b110, 3'b010, 3'b000}; //  0,  -2,  +2,  0</v>
      </c>
      <c r="U46" s="1" t="str" cm="1">
        <f t="array" ref="U46">"9'b"&amp; _xlfn.XLOOKUP(--TRIM(H$3),--Mapping!$D$2:$D$5,Mapping!$E$2:$E$5) &amp; "_" &amp; $C46 &amp; ": return " &amp; "{" &amp; _xlfn.TEXTJOIN(", ", TRUE, _xlfn.XLOOKUP(--TRIM(H46:K46), --Mapping!$A$2:$A$6, Mapping!$B$2:$B$6)) &amp; "}" &amp; "; //  " &amp; H46 &amp; ",  "  &amp; I46 &amp; ",  "  &amp; J46 &amp; ",  "  &amp; K46</f>
        <v>9'b010_101010: return {3'b001, 3'b111, 3'b010, 3'b000}; //  +1,  -1,  +2,  0</v>
      </c>
      <c r="V46" s="1" t="str" cm="1">
        <f t="array" ref="V46">"9'b"&amp; _xlfn.XLOOKUP(--TRIM(L$3),--Mapping!$D$2:$D$5,Mapping!$E$2:$E$5) &amp; "_" &amp; $C46 &amp; ": return " &amp; "{" &amp; _xlfn.TEXTJOIN(", ", TRUE, _xlfn.XLOOKUP(--TRIM(L46:O46), --Mapping!$A$2:$A$6, Mapping!$B$2:$B$6)) &amp; "}" &amp; "; //  " &amp; L46 &amp; ",  "  &amp; M46 &amp; ",  "  &amp; N46 &amp; ",  "  &amp; O46</f>
        <v>9'b001_101010: return {3'b001, 3'b110, 3'b010, 3'b001}; //  +1,  -2,  +2,  +1</v>
      </c>
      <c r="W46" s="1" t="str" cm="1">
        <f t="array" ref="W46">"9'b"&amp; _xlfn.XLOOKUP(--TRIM(P$3),--Mapping!$D$2:$D$5,Mapping!$E$2:$E$5) &amp; "_" &amp; $C46 &amp; ": return " &amp; "{" &amp; _xlfn.TEXTJOIN(", ", TRUE, _xlfn.XLOOKUP(--TRIM(P46:S46), --Mapping!$A$2:$A$6, Mapping!$B$2:$B$6)) &amp; "}" &amp; "; //  " &amp; P46 &amp; ",  "  &amp; Q46 &amp; ",  "  &amp; R46 &amp; ",  "  &amp; S46</f>
        <v>9'b011_101010: return {3'b000, 3'b111, 3'b010, 3'b001}; //  0,  -1,  +2,  +1</v>
      </c>
    </row>
    <row r="47" spans="1:23" x14ac:dyDescent="0.25">
      <c r="A47" s="1" t="s">
        <v>51</v>
      </c>
      <c r="B47" s="1" t="s">
        <v>108</v>
      </c>
      <c r="C47" s="1" t="s">
        <v>155</v>
      </c>
      <c r="D47" s="1" t="s">
        <v>112</v>
      </c>
      <c r="E47" s="1" t="s">
        <v>112</v>
      </c>
      <c r="F47" s="1" t="s">
        <v>101</v>
      </c>
      <c r="G47" s="1" t="s">
        <v>110</v>
      </c>
      <c r="H47" s="1" t="s">
        <v>114</v>
      </c>
      <c r="I47" s="1" t="s">
        <v>114</v>
      </c>
      <c r="J47" s="1" t="s">
        <v>101</v>
      </c>
      <c r="K47" s="1" t="s">
        <v>110</v>
      </c>
      <c r="L47" s="1" t="s">
        <v>114</v>
      </c>
      <c r="M47" s="1" t="s">
        <v>112</v>
      </c>
      <c r="N47" s="1" t="s">
        <v>101</v>
      </c>
      <c r="O47" s="1" t="s">
        <v>102</v>
      </c>
      <c r="P47" s="1" t="s">
        <v>112</v>
      </c>
      <c r="Q47" s="1" t="s">
        <v>114</v>
      </c>
      <c r="R47" s="1" t="s">
        <v>101</v>
      </c>
      <c r="S47" s="1" t="s">
        <v>102</v>
      </c>
      <c r="T47" s="1" t="str" cm="1">
        <f t="array" ref="T47">"9'b"&amp; _xlfn.XLOOKUP(--TRIM(D$3),--Mapping!$D$2:$D$5,Mapping!$E$2:$E$5) &amp; "_" &amp; $C47 &amp; ": return " &amp; "{" &amp; _xlfn.TEXTJOIN(", ", TRUE, _xlfn.XLOOKUP(--TRIM(D47:G47), --Mapping!$A$2:$A$6, Mapping!$B$2:$B$6)) &amp; "}" &amp; "; //  " &amp; D47 &amp; ",  "  &amp; E47 &amp; ",  "  &amp; F47 &amp; ",  "  &amp; G47</f>
        <v>9'b000_101011: return {3'b110, 3'b110, 3'b010, 3'b000}; //  -2,  -2,  +2,  0</v>
      </c>
      <c r="U47" s="1" t="str" cm="1">
        <f t="array" ref="U47">"9'b"&amp; _xlfn.XLOOKUP(--TRIM(H$3),--Mapping!$D$2:$D$5,Mapping!$E$2:$E$5) &amp; "_" &amp; $C47 &amp; ": return " &amp; "{" &amp; _xlfn.TEXTJOIN(", ", TRUE, _xlfn.XLOOKUP(--TRIM(H47:K47), --Mapping!$A$2:$A$6, Mapping!$B$2:$B$6)) &amp; "}" &amp; "; //  " &amp; H47 &amp; ",  "  &amp; I47 &amp; ",  "  &amp; J47 &amp; ",  "  &amp; K47</f>
        <v>9'b010_101011: return {3'b111, 3'b111, 3'b010, 3'b000}; //  -1,  -1,  +2,  0</v>
      </c>
      <c r="V47" s="1" t="str" cm="1">
        <f t="array" ref="V47">"9'b"&amp; _xlfn.XLOOKUP(--TRIM(L$3),--Mapping!$D$2:$D$5,Mapping!$E$2:$E$5) &amp; "_" &amp; $C47 &amp; ": return " &amp; "{" &amp; _xlfn.TEXTJOIN(", ", TRUE, _xlfn.XLOOKUP(--TRIM(L47:O47), --Mapping!$A$2:$A$6, Mapping!$B$2:$B$6)) &amp; "}" &amp; "; //  " &amp; L47 &amp; ",  "  &amp; M47 &amp; ",  "  &amp; N47 &amp; ",  "  &amp; O47</f>
        <v>9'b001_101011: return {3'b111, 3'b110, 3'b010, 3'b001}; //  -1,  -2,  +2,  +1</v>
      </c>
      <c r="W47" s="1" t="str" cm="1">
        <f t="array" ref="W47">"9'b"&amp; _xlfn.XLOOKUP(--TRIM(P$3),--Mapping!$D$2:$D$5,Mapping!$E$2:$E$5) &amp; "_" &amp; $C47 &amp; ": return " &amp; "{" &amp; _xlfn.TEXTJOIN(", ", TRUE, _xlfn.XLOOKUP(--TRIM(P47:S47), --Mapping!$A$2:$A$6, Mapping!$B$2:$B$6)) &amp; "}" &amp; "; //  " &amp; P47 &amp; ",  "  &amp; Q47 &amp; ",  "  &amp; R47 &amp; ",  "  &amp; S47</f>
        <v>9'b011_101011: return {3'b110, 3'b111, 3'b010, 3'b001}; //  -2,  -1,  +2,  +1</v>
      </c>
    </row>
    <row r="48" spans="1:23" x14ac:dyDescent="0.25">
      <c r="A48" s="1" t="s">
        <v>52</v>
      </c>
      <c r="B48" s="1" t="s">
        <v>108</v>
      </c>
      <c r="C48" s="1" t="s">
        <v>156</v>
      </c>
      <c r="D48" s="1" t="s">
        <v>110</v>
      </c>
      <c r="E48" s="1" t="s">
        <v>110</v>
      </c>
      <c r="F48" s="1" t="s">
        <v>101</v>
      </c>
      <c r="G48" s="1" t="s">
        <v>112</v>
      </c>
      <c r="H48" s="1" t="s">
        <v>102</v>
      </c>
      <c r="I48" s="1" t="s">
        <v>102</v>
      </c>
      <c r="J48" s="1" t="s">
        <v>101</v>
      </c>
      <c r="K48" s="1" t="s">
        <v>112</v>
      </c>
      <c r="L48" s="1" t="s">
        <v>102</v>
      </c>
      <c r="M48" s="1" t="s">
        <v>110</v>
      </c>
      <c r="N48" s="1" t="s">
        <v>101</v>
      </c>
      <c r="O48" s="1" t="s">
        <v>114</v>
      </c>
      <c r="P48" s="1" t="s">
        <v>110</v>
      </c>
      <c r="Q48" s="1" t="s">
        <v>102</v>
      </c>
      <c r="R48" s="1" t="s">
        <v>101</v>
      </c>
      <c r="S48" s="1" t="s">
        <v>114</v>
      </c>
      <c r="T48" s="1" t="str" cm="1">
        <f t="array" ref="T48">"9'b"&amp; _xlfn.XLOOKUP(--TRIM(D$3),--Mapping!$D$2:$D$5,Mapping!$E$2:$E$5) &amp; "_" &amp; $C48 &amp; ": return " &amp; "{" &amp; _xlfn.TEXTJOIN(", ", TRUE, _xlfn.XLOOKUP(--TRIM(D48:G48), --Mapping!$A$2:$A$6, Mapping!$B$2:$B$6)) &amp; "}" &amp; "; //  " &amp; D48 &amp; ",  "  &amp; E48 &amp; ",  "  &amp; F48 &amp; ",  "  &amp; G48</f>
        <v>9'b000_101100: return {3'b000, 3'b000, 3'b010, 3'b110}; //  0,  0,  +2,  -2</v>
      </c>
      <c r="U48" s="1" t="str" cm="1">
        <f t="array" ref="U48">"9'b"&amp; _xlfn.XLOOKUP(--TRIM(H$3),--Mapping!$D$2:$D$5,Mapping!$E$2:$E$5) &amp; "_" &amp; $C48 &amp; ": return " &amp; "{" &amp; _xlfn.TEXTJOIN(", ", TRUE, _xlfn.XLOOKUP(--TRIM(H48:K48), --Mapping!$A$2:$A$6, Mapping!$B$2:$B$6)) &amp; "}" &amp; "; //  " &amp; H48 &amp; ",  "  &amp; I48 &amp; ",  "  &amp; J48 &amp; ",  "  &amp; K48</f>
        <v>9'b010_101100: return {3'b001, 3'b001, 3'b010, 3'b110}; //  +1,  +1,  +2,  -2</v>
      </c>
      <c r="V48" s="1" t="str" cm="1">
        <f t="array" ref="V48">"9'b"&amp; _xlfn.XLOOKUP(--TRIM(L$3),--Mapping!$D$2:$D$5,Mapping!$E$2:$E$5) &amp; "_" &amp; $C48 &amp; ": return " &amp; "{" &amp; _xlfn.TEXTJOIN(", ", TRUE, _xlfn.XLOOKUP(--TRIM(L48:O48), --Mapping!$A$2:$A$6, Mapping!$B$2:$B$6)) &amp; "}" &amp; "; //  " &amp; L48 &amp; ",  "  &amp; M48 &amp; ",  "  &amp; N48 &amp; ",  "  &amp; O48</f>
        <v>9'b001_101100: return {3'b001, 3'b000, 3'b010, 3'b111}; //  +1,  0,  +2,  -1</v>
      </c>
      <c r="W48" s="1" t="str" cm="1">
        <f t="array" ref="W48">"9'b"&amp; _xlfn.XLOOKUP(--TRIM(P$3),--Mapping!$D$2:$D$5,Mapping!$E$2:$E$5) &amp; "_" &amp; $C48 &amp; ": return " &amp; "{" &amp; _xlfn.TEXTJOIN(", ", TRUE, _xlfn.XLOOKUP(--TRIM(P48:S48), --Mapping!$A$2:$A$6, Mapping!$B$2:$B$6)) &amp; "}" &amp; "; //  " &amp; P48 &amp; ",  "  &amp; Q48 &amp; ",  "  &amp; R48 &amp; ",  "  &amp; S48</f>
        <v>9'b011_101100: return {3'b000, 3'b001, 3'b010, 3'b111}; //  0,  +1,  +2,  -1</v>
      </c>
    </row>
    <row r="49" spans="1:23" x14ac:dyDescent="0.25">
      <c r="A49" s="1" t="s">
        <v>53</v>
      </c>
      <c r="B49" s="1" t="s">
        <v>108</v>
      </c>
      <c r="C49" s="1" t="s">
        <v>157</v>
      </c>
      <c r="D49" s="1" t="s">
        <v>112</v>
      </c>
      <c r="E49" s="1" t="s">
        <v>110</v>
      </c>
      <c r="F49" s="1" t="s">
        <v>101</v>
      </c>
      <c r="G49" s="1" t="s">
        <v>112</v>
      </c>
      <c r="H49" s="1" t="s">
        <v>114</v>
      </c>
      <c r="I49" s="1" t="s">
        <v>102</v>
      </c>
      <c r="J49" s="1" t="s">
        <v>101</v>
      </c>
      <c r="K49" s="1" t="s">
        <v>112</v>
      </c>
      <c r="L49" s="1" t="s">
        <v>114</v>
      </c>
      <c r="M49" s="1" t="s">
        <v>110</v>
      </c>
      <c r="N49" s="1" t="s">
        <v>101</v>
      </c>
      <c r="O49" s="1" t="s">
        <v>114</v>
      </c>
      <c r="P49" s="1" t="s">
        <v>112</v>
      </c>
      <c r="Q49" s="1" t="s">
        <v>102</v>
      </c>
      <c r="R49" s="1" t="s">
        <v>101</v>
      </c>
      <c r="S49" s="1" t="s">
        <v>114</v>
      </c>
      <c r="T49" s="1" t="str" cm="1">
        <f t="array" ref="T49">"9'b"&amp; _xlfn.XLOOKUP(--TRIM(D$3),--Mapping!$D$2:$D$5,Mapping!$E$2:$E$5) &amp; "_" &amp; $C49 &amp; ": return " &amp; "{" &amp; _xlfn.TEXTJOIN(", ", TRUE, _xlfn.XLOOKUP(--TRIM(D49:G49), --Mapping!$A$2:$A$6, Mapping!$B$2:$B$6)) &amp; "}" &amp; "; //  " &amp; D49 &amp; ",  "  &amp; E49 &amp; ",  "  &amp; F49 &amp; ",  "  &amp; G49</f>
        <v>9'b000_101101: return {3'b110, 3'b000, 3'b010, 3'b110}; //  -2,  0,  +2,  -2</v>
      </c>
      <c r="U49" s="1" t="str" cm="1">
        <f t="array" ref="U49">"9'b"&amp; _xlfn.XLOOKUP(--TRIM(H$3),--Mapping!$D$2:$D$5,Mapping!$E$2:$E$5) &amp; "_" &amp; $C49 &amp; ": return " &amp; "{" &amp; _xlfn.TEXTJOIN(", ", TRUE, _xlfn.XLOOKUP(--TRIM(H49:K49), --Mapping!$A$2:$A$6, Mapping!$B$2:$B$6)) &amp; "}" &amp; "; //  " &amp; H49 &amp; ",  "  &amp; I49 &amp; ",  "  &amp; J49 &amp; ",  "  &amp; K49</f>
        <v>9'b010_101101: return {3'b111, 3'b001, 3'b010, 3'b110}; //  -1,  +1,  +2,  -2</v>
      </c>
      <c r="V49" s="1" t="str" cm="1">
        <f t="array" ref="V49">"9'b"&amp; _xlfn.XLOOKUP(--TRIM(L$3),--Mapping!$D$2:$D$5,Mapping!$E$2:$E$5) &amp; "_" &amp; $C49 &amp; ": return " &amp; "{" &amp; _xlfn.TEXTJOIN(", ", TRUE, _xlfn.XLOOKUP(--TRIM(L49:O49), --Mapping!$A$2:$A$6, Mapping!$B$2:$B$6)) &amp; "}" &amp; "; //  " &amp; L49 &amp; ",  "  &amp; M49 &amp; ",  "  &amp; N49 &amp; ",  "  &amp; O49</f>
        <v>9'b001_101101: return {3'b111, 3'b000, 3'b010, 3'b111}; //  -1,  0,  +2,  -1</v>
      </c>
      <c r="W49" s="1" t="str" cm="1">
        <f t="array" ref="W49">"9'b"&amp; _xlfn.XLOOKUP(--TRIM(P$3),--Mapping!$D$2:$D$5,Mapping!$E$2:$E$5) &amp; "_" &amp; $C49 &amp; ": return " &amp; "{" &amp; _xlfn.TEXTJOIN(", ", TRUE, _xlfn.XLOOKUP(--TRIM(P49:S49), --Mapping!$A$2:$A$6, Mapping!$B$2:$B$6)) &amp; "}" &amp; "; //  " &amp; P49 &amp; ",  "  &amp; Q49 &amp; ",  "  &amp; R49 &amp; ",  "  &amp; S49</f>
        <v>9'b011_101101: return {3'b110, 3'b001, 3'b010, 3'b111}; //  -2,  +1,  +2,  -1</v>
      </c>
    </row>
    <row r="50" spans="1:23" x14ac:dyDescent="0.25">
      <c r="A50" s="1" t="s">
        <v>54</v>
      </c>
      <c r="B50" s="1" t="s">
        <v>108</v>
      </c>
      <c r="C50" s="1" t="s">
        <v>158</v>
      </c>
      <c r="D50" s="1" t="s">
        <v>110</v>
      </c>
      <c r="E50" s="1" t="s">
        <v>112</v>
      </c>
      <c r="F50" s="1" t="s">
        <v>101</v>
      </c>
      <c r="G50" s="1" t="s">
        <v>112</v>
      </c>
      <c r="H50" s="1" t="s">
        <v>102</v>
      </c>
      <c r="I50" s="1" t="s">
        <v>114</v>
      </c>
      <c r="J50" s="1" t="s">
        <v>101</v>
      </c>
      <c r="K50" s="1" t="s">
        <v>112</v>
      </c>
      <c r="L50" s="1" t="s">
        <v>102</v>
      </c>
      <c r="M50" s="1" t="s">
        <v>112</v>
      </c>
      <c r="N50" s="1" t="s">
        <v>101</v>
      </c>
      <c r="O50" s="1" t="s">
        <v>114</v>
      </c>
      <c r="P50" s="1" t="s">
        <v>110</v>
      </c>
      <c r="Q50" s="1" t="s">
        <v>114</v>
      </c>
      <c r="R50" s="1" t="s">
        <v>101</v>
      </c>
      <c r="S50" s="1" t="s">
        <v>114</v>
      </c>
      <c r="T50" s="1" t="str" cm="1">
        <f t="array" ref="T50">"9'b"&amp; _xlfn.XLOOKUP(--TRIM(D$3),--Mapping!$D$2:$D$5,Mapping!$E$2:$E$5) &amp; "_" &amp; $C50 &amp; ": return " &amp; "{" &amp; _xlfn.TEXTJOIN(", ", TRUE, _xlfn.XLOOKUP(--TRIM(D50:G50), --Mapping!$A$2:$A$6, Mapping!$B$2:$B$6)) &amp; "}" &amp; "; //  " &amp; D50 &amp; ",  "  &amp; E50 &amp; ",  "  &amp; F50 &amp; ",  "  &amp; G50</f>
        <v>9'b000_101110: return {3'b000, 3'b110, 3'b010, 3'b110}; //  0,  -2,  +2,  -2</v>
      </c>
      <c r="U50" s="1" t="str" cm="1">
        <f t="array" ref="U50">"9'b"&amp; _xlfn.XLOOKUP(--TRIM(H$3),--Mapping!$D$2:$D$5,Mapping!$E$2:$E$5) &amp; "_" &amp; $C50 &amp; ": return " &amp; "{" &amp; _xlfn.TEXTJOIN(", ", TRUE, _xlfn.XLOOKUP(--TRIM(H50:K50), --Mapping!$A$2:$A$6, Mapping!$B$2:$B$6)) &amp; "}" &amp; "; //  " &amp; H50 &amp; ",  "  &amp; I50 &amp; ",  "  &amp; J50 &amp; ",  "  &amp; K50</f>
        <v>9'b010_101110: return {3'b001, 3'b111, 3'b010, 3'b110}; //  +1,  -1,  +2,  -2</v>
      </c>
      <c r="V50" s="1" t="str" cm="1">
        <f t="array" ref="V50">"9'b"&amp; _xlfn.XLOOKUP(--TRIM(L$3),--Mapping!$D$2:$D$5,Mapping!$E$2:$E$5) &amp; "_" &amp; $C50 &amp; ": return " &amp; "{" &amp; _xlfn.TEXTJOIN(", ", TRUE, _xlfn.XLOOKUP(--TRIM(L50:O50), --Mapping!$A$2:$A$6, Mapping!$B$2:$B$6)) &amp; "}" &amp; "; //  " &amp; L50 &amp; ",  "  &amp; M50 &amp; ",  "  &amp; N50 &amp; ",  "  &amp; O50</f>
        <v>9'b001_101110: return {3'b001, 3'b110, 3'b010, 3'b111}; //  +1,  -2,  +2,  -1</v>
      </c>
      <c r="W50" s="1" t="str" cm="1">
        <f t="array" ref="W50">"9'b"&amp; _xlfn.XLOOKUP(--TRIM(P$3),--Mapping!$D$2:$D$5,Mapping!$E$2:$E$5) &amp; "_" &amp; $C50 &amp; ": return " &amp; "{" &amp; _xlfn.TEXTJOIN(", ", TRUE, _xlfn.XLOOKUP(--TRIM(P50:S50), --Mapping!$A$2:$A$6, Mapping!$B$2:$B$6)) &amp; "}" &amp; "; //  " &amp; P50 &amp; ",  "  &amp; Q50 &amp; ",  "  &amp; R50 &amp; ",  "  &amp; S50</f>
        <v>9'b011_101110: return {3'b000, 3'b111, 3'b010, 3'b111}; //  0,  -1,  +2,  -1</v>
      </c>
    </row>
    <row r="51" spans="1:23" x14ac:dyDescent="0.25">
      <c r="A51" s="1" t="s">
        <v>55</v>
      </c>
      <c r="B51" s="1" t="s">
        <v>108</v>
      </c>
      <c r="C51" s="1" t="s">
        <v>159</v>
      </c>
      <c r="D51" s="1" t="s">
        <v>112</v>
      </c>
      <c r="E51" s="1" t="s">
        <v>112</v>
      </c>
      <c r="F51" s="1" t="s">
        <v>101</v>
      </c>
      <c r="G51" s="1" t="s">
        <v>112</v>
      </c>
      <c r="H51" s="1" t="s">
        <v>114</v>
      </c>
      <c r="I51" s="1" t="s">
        <v>114</v>
      </c>
      <c r="J51" s="1" t="s">
        <v>101</v>
      </c>
      <c r="K51" s="1" t="s">
        <v>112</v>
      </c>
      <c r="L51" s="1" t="s">
        <v>114</v>
      </c>
      <c r="M51" s="1" t="s">
        <v>112</v>
      </c>
      <c r="N51" s="1" t="s">
        <v>101</v>
      </c>
      <c r="O51" s="1" t="s">
        <v>114</v>
      </c>
      <c r="P51" s="1" t="s">
        <v>112</v>
      </c>
      <c r="Q51" s="1" t="s">
        <v>114</v>
      </c>
      <c r="R51" s="1" t="s">
        <v>101</v>
      </c>
      <c r="S51" s="1" t="s">
        <v>114</v>
      </c>
      <c r="T51" s="1" t="str" cm="1">
        <f t="array" ref="T51">"9'b"&amp; _xlfn.XLOOKUP(--TRIM(D$3),--Mapping!$D$2:$D$5,Mapping!$E$2:$E$5) &amp; "_" &amp; $C51 &amp; ": return " &amp; "{" &amp; _xlfn.TEXTJOIN(", ", TRUE, _xlfn.XLOOKUP(--TRIM(D51:G51), --Mapping!$A$2:$A$6, Mapping!$B$2:$B$6)) &amp; "}" &amp; "; //  " &amp; D51 &amp; ",  "  &amp; E51 &amp; ",  "  &amp; F51 &amp; ",  "  &amp; G51</f>
        <v>9'b000_101111: return {3'b110, 3'b110, 3'b010, 3'b110}; //  -2,  -2,  +2,  -2</v>
      </c>
      <c r="U51" s="1" t="str" cm="1">
        <f t="array" ref="U51">"9'b"&amp; _xlfn.XLOOKUP(--TRIM(H$3),--Mapping!$D$2:$D$5,Mapping!$E$2:$E$5) &amp; "_" &amp; $C51 &amp; ": return " &amp; "{" &amp; _xlfn.TEXTJOIN(", ", TRUE, _xlfn.XLOOKUP(--TRIM(H51:K51), --Mapping!$A$2:$A$6, Mapping!$B$2:$B$6)) &amp; "}" &amp; "; //  " &amp; H51 &amp; ",  "  &amp; I51 &amp; ",  "  &amp; J51 &amp; ",  "  &amp; K51</f>
        <v>9'b010_101111: return {3'b111, 3'b111, 3'b010, 3'b110}; //  -1,  -1,  +2,  -2</v>
      </c>
      <c r="V51" s="1" t="str" cm="1">
        <f t="array" ref="V51">"9'b"&amp; _xlfn.XLOOKUP(--TRIM(L$3),--Mapping!$D$2:$D$5,Mapping!$E$2:$E$5) &amp; "_" &amp; $C51 &amp; ": return " &amp; "{" &amp; _xlfn.TEXTJOIN(", ", TRUE, _xlfn.XLOOKUP(--TRIM(L51:O51), --Mapping!$A$2:$A$6, Mapping!$B$2:$B$6)) &amp; "}" &amp; "; //  " &amp; L51 &amp; ",  "  &amp; M51 &amp; ",  "  &amp; N51 &amp; ",  "  &amp; O51</f>
        <v>9'b001_101111: return {3'b111, 3'b110, 3'b010, 3'b111}; //  -1,  -2,  +2,  -1</v>
      </c>
      <c r="W51" s="1" t="str" cm="1">
        <f t="array" ref="W51">"9'b"&amp; _xlfn.XLOOKUP(--TRIM(P$3),--Mapping!$D$2:$D$5,Mapping!$E$2:$E$5) &amp; "_" &amp; $C51 &amp; ": return " &amp; "{" &amp; _xlfn.TEXTJOIN(", ", TRUE, _xlfn.XLOOKUP(--TRIM(P51:S51), --Mapping!$A$2:$A$6, Mapping!$B$2:$B$6)) &amp; "}" &amp; "; //  " &amp; P51 &amp; ",  "  &amp; Q51 &amp; ",  "  &amp; R51 &amp; ",  "  &amp; S51</f>
        <v>9'b011_101111: return {3'b110, 3'b111, 3'b010, 3'b111}; //  -2,  -1,  +2,  -1</v>
      </c>
    </row>
    <row r="52" spans="1:23" x14ac:dyDescent="0.25">
      <c r="A52" s="1" t="s">
        <v>56</v>
      </c>
      <c r="B52" s="1" t="s">
        <v>108</v>
      </c>
      <c r="C52" s="1" t="s">
        <v>160</v>
      </c>
      <c r="D52" s="1" t="s">
        <v>110</v>
      </c>
      <c r="E52" s="1" t="s">
        <v>101</v>
      </c>
      <c r="F52" s="1" t="s">
        <v>110</v>
      </c>
      <c r="G52" s="1" t="s">
        <v>110</v>
      </c>
      <c r="H52" s="1" t="s">
        <v>110</v>
      </c>
      <c r="I52" s="1" t="s">
        <v>101</v>
      </c>
      <c r="J52" s="1" t="s">
        <v>102</v>
      </c>
      <c r="K52" s="1" t="s">
        <v>102</v>
      </c>
      <c r="L52" s="1" t="s">
        <v>102</v>
      </c>
      <c r="M52" s="1" t="s">
        <v>101</v>
      </c>
      <c r="N52" s="1" t="s">
        <v>110</v>
      </c>
      <c r="O52" s="1" t="s">
        <v>102</v>
      </c>
      <c r="P52" s="1" t="s">
        <v>102</v>
      </c>
      <c r="Q52" s="1" t="s">
        <v>101</v>
      </c>
      <c r="R52" s="1" t="s">
        <v>102</v>
      </c>
      <c r="S52" s="1" t="s">
        <v>110</v>
      </c>
      <c r="T52" s="1" t="str" cm="1">
        <f t="array" ref="T52">"9'b"&amp; _xlfn.XLOOKUP(--TRIM(D$3),--Mapping!$D$2:$D$5,Mapping!$E$2:$E$5) &amp; "_" &amp; $C52 &amp; ": return " &amp; "{" &amp; _xlfn.TEXTJOIN(", ", TRUE, _xlfn.XLOOKUP(--TRIM(D52:G52), --Mapping!$A$2:$A$6, Mapping!$B$2:$B$6)) &amp; "}" &amp; "; //  " &amp; D52 &amp; ",  "  &amp; E52 &amp; ",  "  &amp; F52 &amp; ",  "  &amp; G52</f>
        <v>9'b000_110000: return {3'b000, 3'b010, 3'b000, 3'b000}; //  0,  +2,  0,  0</v>
      </c>
      <c r="U52" s="1" t="str" cm="1">
        <f t="array" ref="U52">"9'b"&amp; _xlfn.XLOOKUP(--TRIM(H$3),--Mapping!$D$2:$D$5,Mapping!$E$2:$E$5) &amp; "_" &amp; $C52 &amp; ": return " &amp; "{" &amp; _xlfn.TEXTJOIN(", ", TRUE, _xlfn.XLOOKUP(--TRIM(H52:K52), --Mapping!$A$2:$A$6, Mapping!$B$2:$B$6)) &amp; "}" &amp; "; //  " &amp; H52 &amp; ",  "  &amp; I52 &amp; ",  "  &amp; J52 &amp; ",  "  &amp; K52</f>
        <v>9'b010_110000: return {3'b000, 3'b010, 3'b001, 3'b001}; //  0,  +2,  +1,  +1</v>
      </c>
      <c r="V52" s="1" t="str" cm="1">
        <f t="array" ref="V52">"9'b"&amp; _xlfn.XLOOKUP(--TRIM(L$3),--Mapping!$D$2:$D$5,Mapping!$E$2:$E$5) &amp; "_" &amp; $C52 &amp; ": return " &amp; "{" &amp; _xlfn.TEXTJOIN(", ", TRUE, _xlfn.XLOOKUP(--TRIM(L52:O52), --Mapping!$A$2:$A$6, Mapping!$B$2:$B$6)) &amp; "}" &amp; "; //  " &amp; L52 &amp; ",  "  &amp; M52 &amp; ",  "  &amp; N52 &amp; ",  "  &amp; O52</f>
        <v>9'b001_110000: return {3'b001, 3'b010, 3'b000, 3'b001}; //  +1,  +2,  0,  +1</v>
      </c>
      <c r="W52" s="1" t="str" cm="1">
        <f t="array" ref="W52">"9'b"&amp; _xlfn.XLOOKUP(--TRIM(P$3),--Mapping!$D$2:$D$5,Mapping!$E$2:$E$5) &amp; "_" &amp; $C52 &amp; ": return " &amp; "{" &amp; _xlfn.TEXTJOIN(", ", TRUE, _xlfn.XLOOKUP(--TRIM(P52:S52), --Mapping!$A$2:$A$6, Mapping!$B$2:$B$6)) &amp; "}" &amp; "; //  " &amp; P52 &amp; ",  "  &amp; Q52 &amp; ",  "  &amp; R52 &amp; ",  "  &amp; S52</f>
        <v>9'b011_110000: return {3'b001, 3'b010, 3'b001, 3'b000}; //  +1,  +2,  +1,  0</v>
      </c>
    </row>
    <row r="53" spans="1:23" x14ac:dyDescent="0.25">
      <c r="A53" s="1" t="s">
        <v>57</v>
      </c>
      <c r="B53" s="1" t="s">
        <v>108</v>
      </c>
      <c r="C53" s="1" t="s">
        <v>161</v>
      </c>
      <c r="D53" s="1" t="s">
        <v>112</v>
      </c>
      <c r="E53" s="1" t="s">
        <v>101</v>
      </c>
      <c r="F53" s="1" t="s">
        <v>110</v>
      </c>
      <c r="G53" s="1" t="s">
        <v>110</v>
      </c>
      <c r="H53" s="1" t="s">
        <v>112</v>
      </c>
      <c r="I53" s="1" t="s">
        <v>101</v>
      </c>
      <c r="J53" s="1" t="s">
        <v>102</v>
      </c>
      <c r="K53" s="1" t="s">
        <v>102</v>
      </c>
      <c r="L53" s="1" t="s">
        <v>114</v>
      </c>
      <c r="M53" s="1" t="s">
        <v>101</v>
      </c>
      <c r="N53" s="1" t="s">
        <v>110</v>
      </c>
      <c r="O53" s="1" t="s">
        <v>102</v>
      </c>
      <c r="P53" s="1" t="s">
        <v>114</v>
      </c>
      <c r="Q53" s="1" t="s">
        <v>101</v>
      </c>
      <c r="R53" s="1" t="s">
        <v>102</v>
      </c>
      <c r="S53" s="1" t="s">
        <v>110</v>
      </c>
      <c r="T53" s="1" t="str" cm="1">
        <f t="array" ref="T53">"9'b"&amp; _xlfn.XLOOKUP(--TRIM(D$3),--Mapping!$D$2:$D$5,Mapping!$E$2:$E$5) &amp; "_" &amp; $C53 &amp; ": return " &amp; "{" &amp; _xlfn.TEXTJOIN(", ", TRUE, _xlfn.XLOOKUP(--TRIM(D53:G53), --Mapping!$A$2:$A$6, Mapping!$B$2:$B$6)) &amp; "}" &amp; "; //  " &amp; D53 &amp; ",  "  &amp; E53 &amp; ",  "  &amp; F53 &amp; ",  "  &amp; G53</f>
        <v>9'b000_110001: return {3'b110, 3'b010, 3'b000, 3'b000}; //  -2,  +2,  0,  0</v>
      </c>
      <c r="U53" s="1" t="str" cm="1">
        <f t="array" ref="U53">"9'b"&amp; _xlfn.XLOOKUP(--TRIM(H$3),--Mapping!$D$2:$D$5,Mapping!$E$2:$E$5) &amp; "_" &amp; $C53 &amp; ": return " &amp; "{" &amp; _xlfn.TEXTJOIN(", ", TRUE, _xlfn.XLOOKUP(--TRIM(H53:K53), --Mapping!$A$2:$A$6, Mapping!$B$2:$B$6)) &amp; "}" &amp; "; //  " &amp; H53 &amp; ",  "  &amp; I53 &amp; ",  "  &amp; J53 &amp; ",  "  &amp; K53</f>
        <v>9'b010_110001: return {3'b110, 3'b010, 3'b001, 3'b001}; //  -2,  +2,  +1,  +1</v>
      </c>
      <c r="V53" s="1" t="str" cm="1">
        <f t="array" ref="V53">"9'b"&amp; _xlfn.XLOOKUP(--TRIM(L$3),--Mapping!$D$2:$D$5,Mapping!$E$2:$E$5) &amp; "_" &amp; $C53 &amp; ": return " &amp; "{" &amp; _xlfn.TEXTJOIN(", ", TRUE, _xlfn.XLOOKUP(--TRIM(L53:O53), --Mapping!$A$2:$A$6, Mapping!$B$2:$B$6)) &amp; "}" &amp; "; //  " &amp; L53 &amp; ",  "  &amp; M53 &amp; ",  "  &amp; N53 &amp; ",  "  &amp; O53</f>
        <v>9'b001_110001: return {3'b111, 3'b010, 3'b000, 3'b001}; //  -1,  +2,  0,  +1</v>
      </c>
      <c r="W53" s="1" t="str" cm="1">
        <f t="array" ref="W53">"9'b"&amp; _xlfn.XLOOKUP(--TRIM(P$3),--Mapping!$D$2:$D$5,Mapping!$E$2:$E$5) &amp; "_" &amp; $C53 &amp; ": return " &amp; "{" &amp; _xlfn.TEXTJOIN(", ", TRUE, _xlfn.XLOOKUP(--TRIM(P53:S53), --Mapping!$A$2:$A$6, Mapping!$B$2:$B$6)) &amp; "}" &amp; "; //  " &amp; P53 &amp; ",  "  &amp; Q53 &amp; ",  "  &amp; R53 &amp; ",  "  &amp; S53</f>
        <v>9'b011_110001: return {3'b111, 3'b010, 3'b001, 3'b000}; //  -1,  +2,  +1,  0</v>
      </c>
    </row>
    <row r="54" spans="1:23" x14ac:dyDescent="0.25">
      <c r="A54" s="1" t="s">
        <v>58</v>
      </c>
      <c r="B54" s="1" t="s">
        <v>108</v>
      </c>
      <c r="C54" s="1" t="s">
        <v>162</v>
      </c>
      <c r="D54" s="1" t="s">
        <v>110</v>
      </c>
      <c r="E54" s="1" t="s">
        <v>101</v>
      </c>
      <c r="F54" s="1" t="s">
        <v>112</v>
      </c>
      <c r="G54" s="1" t="s">
        <v>110</v>
      </c>
      <c r="H54" s="1" t="s">
        <v>110</v>
      </c>
      <c r="I54" s="1" t="s">
        <v>101</v>
      </c>
      <c r="J54" s="1" t="s">
        <v>114</v>
      </c>
      <c r="K54" s="1" t="s">
        <v>102</v>
      </c>
      <c r="L54" s="1" t="s">
        <v>102</v>
      </c>
      <c r="M54" s="1" t="s">
        <v>101</v>
      </c>
      <c r="N54" s="1" t="s">
        <v>112</v>
      </c>
      <c r="O54" s="1" t="s">
        <v>102</v>
      </c>
      <c r="P54" s="1" t="s">
        <v>102</v>
      </c>
      <c r="Q54" s="1" t="s">
        <v>101</v>
      </c>
      <c r="R54" s="1" t="s">
        <v>114</v>
      </c>
      <c r="S54" s="1" t="s">
        <v>110</v>
      </c>
      <c r="T54" s="1" t="str" cm="1">
        <f t="array" ref="T54">"9'b"&amp; _xlfn.XLOOKUP(--TRIM(D$3),--Mapping!$D$2:$D$5,Mapping!$E$2:$E$5) &amp; "_" &amp; $C54 &amp; ": return " &amp; "{" &amp; _xlfn.TEXTJOIN(", ", TRUE, _xlfn.XLOOKUP(--TRIM(D54:G54), --Mapping!$A$2:$A$6, Mapping!$B$2:$B$6)) &amp; "}" &amp; "; //  " &amp; D54 &amp; ",  "  &amp; E54 &amp; ",  "  &amp; F54 &amp; ",  "  &amp; G54</f>
        <v>9'b000_110010: return {3'b000, 3'b010, 3'b110, 3'b000}; //  0,  +2,  -2,  0</v>
      </c>
      <c r="U54" s="1" t="str" cm="1">
        <f t="array" ref="U54">"9'b"&amp; _xlfn.XLOOKUP(--TRIM(H$3),--Mapping!$D$2:$D$5,Mapping!$E$2:$E$5) &amp; "_" &amp; $C54 &amp; ": return " &amp; "{" &amp; _xlfn.TEXTJOIN(", ", TRUE, _xlfn.XLOOKUP(--TRIM(H54:K54), --Mapping!$A$2:$A$6, Mapping!$B$2:$B$6)) &amp; "}" &amp; "; //  " &amp; H54 &amp; ",  "  &amp; I54 &amp; ",  "  &amp; J54 &amp; ",  "  &amp; K54</f>
        <v>9'b010_110010: return {3'b000, 3'b010, 3'b111, 3'b001}; //  0,  +2,  -1,  +1</v>
      </c>
      <c r="V54" s="1" t="str" cm="1">
        <f t="array" ref="V54">"9'b"&amp; _xlfn.XLOOKUP(--TRIM(L$3),--Mapping!$D$2:$D$5,Mapping!$E$2:$E$5) &amp; "_" &amp; $C54 &amp; ": return " &amp; "{" &amp; _xlfn.TEXTJOIN(", ", TRUE, _xlfn.XLOOKUP(--TRIM(L54:O54), --Mapping!$A$2:$A$6, Mapping!$B$2:$B$6)) &amp; "}" &amp; "; //  " &amp; L54 &amp; ",  "  &amp; M54 &amp; ",  "  &amp; N54 &amp; ",  "  &amp; O54</f>
        <v>9'b001_110010: return {3'b001, 3'b010, 3'b110, 3'b001}; //  +1,  +2,  -2,  +1</v>
      </c>
      <c r="W54" s="1" t="str" cm="1">
        <f t="array" ref="W54">"9'b"&amp; _xlfn.XLOOKUP(--TRIM(P$3),--Mapping!$D$2:$D$5,Mapping!$E$2:$E$5) &amp; "_" &amp; $C54 &amp; ": return " &amp; "{" &amp; _xlfn.TEXTJOIN(", ", TRUE, _xlfn.XLOOKUP(--TRIM(P54:S54), --Mapping!$A$2:$A$6, Mapping!$B$2:$B$6)) &amp; "}" &amp; "; //  " &amp; P54 &amp; ",  "  &amp; Q54 &amp; ",  "  &amp; R54 &amp; ",  "  &amp; S54</f>
        <v>9'b011_110010: return {3'b001, 3'b010, 3'b111, 3'b000}; //  +1,  +2,  -1,  0</v>
      </c>
    </row>
    <row r="55" spans="1:23" x14ac:dyDescent="0.25">
      <c r="A55" s="1" t="s">
        <v>59</v>
      </c>
      <c r="B55" s="1" t="s">
        <v>108</v>
      </c>
      <c r="C55" s="1" t="s">
        <v>163</v>
      </c>
      <c r="D55" s="1" t="s">
        <v>112</v>
      </c>
      <c r="E55" s="1" t="s">
        <v>101</v>
      </c>
      <c r="F55" s="1" t="s">
        <v>112</v>
      </c>
      <c r="G55" s="1" t="s">
        <v>110</v>
      </c>
      <c r="H55" s="1" t="s">
        <v>112</v>
      </c>
      <c r="I55" s="1" t="s">
        <v>101</v>
      </c>
      <c r="J55" s="1" t="s">
        <v>114</v>
      </c>
      <c r="K55" s="1" t="s">
        <v>102</v>
      </c>
      <c r="L55" s="1" t="s">
        <v>114</v>
      </c>
      <c r="M55" s="1" t="s">
        <v>101</v>
      </c>
      <c r="N55" s="1" t="s">
        <v>112</v>
      </c>
      <c r="O55" s="1" t="s">
        <v>102</v>
      </c>
      <c r="P55" s="1" t="s">
        <v>114</v>
      </c>
      <c r="Q55" s="1" t="s">
        <v>101</v>
      </c>
      <c r="R55" s="1" t="s">
        <v>114</v>
      </c>
      <c r="S55" s="1" t="s">
        <v>110</v>
      </c>
      <c r="T55" s="1" t="str" cm="1">
        <f t="array" ref="T55">"9'b"&amp; _xlfn.XLOOKUP(--TRIM(D$3),--Mapping!$D$2:$D$5,Mapping!$E$2:$E$5) &amp; "_" &amp; $C55 &amp; ": return " &amp; "{" &amp; _xlfn.TEXTJOIN(", ", TRUE, _xlfn.XLOOKUP(--TRIM(D55:G55), --Mapping!$A$2:$A$6, Mapping!$B$2:$B$6)) &amp; "}" &amp; "; //  " &amp; D55 &amp; ",  "  &amp; E55 &amp; ",  "  &amp; F55 &amp; ",  "  &amp; G55</f>
        <v>9'b000_110011: return {3'b110, 3'b010, 3'b110, 3'b000}; //  -2,  +2,  -2,  0</v>
      </c>
      <c r="U55" s="1" t="str" cm="1">
        <f t="array" ref="U55">"9'b"&amp; _xlfn.XLOOKUP(--TRIM(H$3),--Mapping!$D$2:$D$5,Mapping!$E$2:$E$5) &amp; "_" &amp; $C55 &amp; ": return " &amp; "{" &amp; _xlfn.TEXTJOIN(", ", TRUE, _xlfn.XLOOKUP(--TRIM(H55:K55), --Mapping!$A$2:$A$6, Mapping!$B$2:$B$6)) &amp; "}" &amp; "; //  " &amp; H55 &amp; ",  "  &amp; I55 &amp; ",  "  &amp; J55 &amp; ",  "  &amp; K55</f>
        <v>9'b010_110011: return {3'b110, 3'b010, 3'b111, 3'b001}; //  -2,  +2,  -1,  +1</v>
      </c>
      <c r="V55" s="1" t="str" cm="1">
        <f t="array" ref="V55">"9'b"&amp; _xlfn.XLOOKUP(--TRIM(L$3),--Mapping!$D$2:$D$5,Mapping!$E$2:$E$5) &amp; "_" &amp; $C55 &amp; ": return " &amp; "{" &amp; _xlfn.TEXTJOIN(", ", TRUE, _xlfn.XLOOKUP(--TRIM(L55:O55), --Mapping!$A$2:$A$6, Mapping!$B$2:$B$6)) &amp; "}" &amp; "; //  " &amp; L55 &amp; ",  "  &amp; M55 &amp; ",  "  &amp; N55 &amp; ",  "  &amp; O55</f>
        <v>9'b001_110011: return {3'b111, 3'b010, 3'b110, 3'b001}; //  -1,  +2,  -2,  +1</v>
      </c>
      <c r="W55" s="1" t="str" cm="1">
        <f t="array" ref="W55">"9'b"&amp; _xlfn.XLOOKUP(--TRIM(P$3),--Mapping!$D$2:$D$5,Mapping!$E$2:$E$5) &amp; "_" &amp; $C55 &amp; ": return " &amp; "{" &amp; _xlfn.TEXTJOIN(", ", TRUE, _xlfn.XLOOKUP(--TRIM(P55:S55), --Mapping!$A$2:$A$6, Mapping!$B$2:$B$6)) &amp; "}" &amp; "; //  " &amp; P55 &amp; ",  "  &amp; Q55 &amp; ",  "  &amp; R55 &amp; ",  "  &amp; S55</f>
        <v>9'b011_110011: return {3'b111, 3'b010, 3'b111, 3'b000}; //  -1,  +2,  -1,  0</v>
      </c>
    </row>
    <row r="56" spans="1:23" x14ac:dyDescent="0.25">
      <c r="A56" s="1" t="s">
        <v>60</v>
      </c>
      <c r="B56" s="1" t="s">
        <v>108</v>
      </c>
      <c r="C56" s="1" t="s">
        <v>164</v>
      </c>
      <c r="D56" s="1" t="s">
        <v>110</v>
      </c>
      <c r="E56" s="1" t="s">
        <v>101</v>
      </c>
      <c r="F56" s="1" t="s">
        <v>110</v>
      </c>
      <c r="G56" s="1" t="s">
        <v>112</v>
      </c>
      <c r="H56" s="1" t="s">
        <v>110</v>
      </c>
      <c r="I56" s="1" t="s">
        <v>101</v>
      </c>
      <c r="J56" s="1" t="s">
        <v>102</v>
      </c>
      <c r="K56" s="1" t="s">
        <v>114</v>
      </c>
      <c r="L56" s="1" t="s">
        <v>102</v>
      </c>
      <c r="M56" s="1" t="s">
        <v>101</v>
      </c>
      <c r="N56" s="1" t="s">
        <v>110</v>
      </c>
      <c r="O56" s="1" t="s">
        <v>114</v>
      </c>
      <c r="P56" s="1" t="s">
        <v>102</v>
      </c>
      <c r="Q56" s="1" t="s">
        <v>101</v>
      </c>
      <c r="R56" s="1" t="s">
        <v>102</v>
      </c>
      <c r="S56" s="1" t="s">
        <v>112</v>
      </c>
      <c r="T56" s="1" t="str" cm="1">
        <f t="array" ref="T56">"9'b"&amp; _xlfn.XLOOKUP(--TRIM(D$3),--Mapping!$D$2:$D$5,Mapping!$E$2:$E$5) &amp; "_" &amp; $C56 &amp; ": return " &amp; "{" &amp; _xlfn.TEXTJOIN(", ", TRUE, _xlfn.XLOOKUP(--TRIM(D56:G56), --Mapping!$A$2:$A$6, Mapping!$B$2:$B$6)) &amp; "}" &amp; "; //  " &amp; D56 &amp; ",  "  &amp; E56 &amp; ",  "  &amp; F56 &amp; ",  "  &amp; G56</f>
        <v>9'b000_110100: return {3'b000, 3'b010, 3'b000, 3'b110}; //  0,  +2,  0,  -2</v>
      </c>
      <c r="U56" s="1" t="str" cm="1">
        <f t="array" ref="U56">"9'b"&amp; _xlfn.XLOOKUP(--TRIM(H$3),--Mapping!$D$2:$D$5,Mapping!$E$2:$E$5) &amp; "_" &amp; $C56 &amp; ": return " &amp; "{" &amp; _xlfn.TEXTJOIN(", ", TRUE, _xlfn.XLOOKUP(--TRIM(H56:K56), --Mapping!$A$2:$A$6, Mapping!$B$2:$B$6)) &amp; "}" &amp; "; //  " &amp; H56 &amp; ",  "  &amp; I56 &amp; ",  "  &amp; J56 &amp; ",  "  &amp; K56</f>
        <v>9'b010_110100: return {3'b000, 3'b010, 3'b001, 3'b111}; //  0,  +2,  +1,  -1</v>
      </c>
      <c r="V56" s="1" t="str" cm="1">
        <f t="array" ref="V56">"9'b"&amp; _xlfn.XLOOKUP(--TRIM(L$3),--Mapping!$D$2:$D$5,Mapping!$E$2:$E$5) &amp; "_" &amp; $C56 &amp; ": return " &amp; "{" &amp; _xlfn.TEXTJOIN(", ", TRUE, _xlfn.XLOOKUP(--TRIM(L56:O56), --Mapping!$A$2:$A$6, Mapping!$B$2:$B$6)) &amp; "}" &amp; "; //  " &amp; L56 &amp; ",  "  &amp; M56 &amp; ",  "  &amp; N56 &amp; ",  "  &amp; O56</f>
        <v>9'b001_110100: return {3'b001, 3'b010, 3'b000, 3'b111}; //  +1,  +2,  0,  -1</v>
      </c>
      <c r="W56" s="1" t="str" cm="1">
        <f t="array" ref="W56">"9'b"&amp; _xlfn.XLOOKUP(--TRIM(P$3),--Mapping!$D$2:$D$5,Mapping!$E$2:$E$5) &amp; "_" &amp; $C56 &amp; ": return " &amp; "{" &amp; _xlfn.TEXTJOIN(", ", TRUE, _xlfn.XLOOKUP(--TRIM(P56:S56), --Mapping!$A$2:$A$6, Mapping!$B$2:$B$6)) &amp; "}" &amp; "; //  " &amp; P56 &amp; ",  "  &amp; Q56 &amp; ",  "  &amp; R56 &amp; ",  "  &amp; S56</f>
        <v>9'b011_110100: return {3'b001, 3'b010, 3'b001, 3'b110}; //  +1,  +2,  +1,  -2</v>
      </c>
    </row>
    <row r="57" spans="1:23" x14ac:dyDescent="0.25">
      <c r="A57" s="1" t="s">
        <v>61</v>
      </c>
      <c r="B57" s="1" t="s">
        <v>108</v>
      </c>
      <c r="C57" s="1" t="s">
        <v>165</v>
      </c>
      <c r="D57" s="1" t="s">
        <v>112</v>
      </c>
      <c r="E57" s="1" t="s">
        <v>101</v>
      </c>
      <c r="F57" s="1" t="s">
        <v>110</v>
      </c>
      <c r="G57" s="1" t="s">
        <v>112</v>
      </c>
      <c r="H57" s="1" t="s">
        <v>112</v>
      </c>
      <c r="I57" s="1" t="s">
        <v>101</v>
      </c>
      <c r="J57" s="1" t="s">
        <v>102</v>
      </c>
      <c r="K57" s="1" t="s">
        <v>114</v>
      </c>
      <c r="L57" s="1" t="s">
        <v>114</v>
      </c>
      <c r="M57" s="1" t="s">
        <v>101</v>
      </c>
      <c r="N57" s="1" t="s">
        <v>110</v>
      </c>
      <c r="O57" s="1" t="s">
        <v>114</v>
      </c>
      <c r="P57" s="1" t="s">
        <v>114</v>
      </c>
      <c r="Q57" s="1" t="s">
        <v>101</v>
      </c>
      <c r="R57" s="1" t="s">
        <v>102</v>
      </c>
      <c r="S57" s="1" t="s">
        <v>112</v>
      </c>
      <c r="T57" s="1" t="str" cm="1">
        <f t="array" ref="T57">"9'b"&amp; _xlfn.XLOOKUP(--TRIM(D$3),--Mapping!$D$2:$D$5,Mapping!$E$2:$E$5) &amp; "_" &amp; $C57 &amp; ": return " &amp; "{" &amp; _xlfn.TEXTJOIN(", ", TRUE, _xlfn.XLOOKUP(--TRIM(D57:G57), --Mapping!$A$2:$A$6, Mapping!$B$2:$B$6)) &amp; "}" &amp; "; //  " &amp; D57 &amp; ",  "  &amp; E57 &amp; ",  "  &amp; F57 &amp; ",  "  &amp; G57</f>
        <v>9'b000_110101: return {3'b110, 3'b010, 3'b000, 3'b110}; //  -2,  +2,  0,  -2</v>
      </c>
      <c r="U57" s="1" t="str" cm="1">
        <f t="array" ref="U57">"9'b"&amp; _xlfn.XLOOKUP(--TRIM(H$3),--Mapping!$D$2:$D$5,Mapping!$E$2:$E$5) &amp; "_" &amp; $C57 &amp; ": return " &amp; "{" &amp; _xlfn.TEXTJOIN(", ", TRUE, _xlfn.XLOOKUP(--TRIM(H57:K57), --Mapping!$A$2:$A$6, Mapping!$B$2:$B$6)) &amp; "}" &amp; "; //  " &amp; H57 &amp; ",  "  &amp; I57 &amp; ",  "  &amp; J57 &amp; ",  "  &amp; K57</f>
        <v>9'b010_110101: return {3'b110, 3'b010, 3'b001, 3'b111}; //  -2,  +2,  +1,  -1</v>
      </c>
      <c r="V57" s="1" t="str" cm="1">
        <f t="array" ref="V57">"9'b"&amp; _xlfn.XLOOKUP(--TRIM(L$3),--Mapping!$D$2:$D$5,Mapping!$E$2:$E$5) &amp; "_" &amp; $C57 &amp; ": return " &amp; "{" &amp; _xlfn.TEXTJOIN(", ", TRUE, _xlfn.XLOOKUP(--TRIM(L57:O57), --Mapping!$A$2:$A$6, Mapping!$B$2:$B$6)) &amp; "}" &amp; "; //  " &amp; L57 &amp; ",  "  &amp; M57 &amp; ",  "  &amp; N57 &amp; ",  "  &amp; O57</f>
        <v>9'b001_110101: return {3'b111, 3'b010, 3'b000, 3'b111}; //  -1,  +2,  0,  -1</v>
      </c>
      <c r="W57" s="1" t="str" cm="1">
        <f t="array" ref="W57">"9'b"&amp; _xlfn.XLOOKUP(--TRIM(P$3),--Mapping!$D$2:$D$5,Mapping!$E$2:$E$5) &amp; "_" &amp; $C57 &amp; ": return " &amp; "{" &amp; _xlfn.TEXTJOIN(", ", TRUE, _xlfn.XLOOKUP(--TRIM(P57:S57), --Mapping!$A$2:$A$6, Mapping!$B$2:$B$6)) &amp; "}" &amp; "; //  " &amp; P57 &amp; ",  "  &amp; Q57 &amp; ",  "  &amp; R57 &amp; ",  "  &amp; S57</f>
        <v>9'b011_110101: return {3'b111, 3'b010, 3'b001, 3'b110}; //  -1,  +2,  +1,  -2</v>
      </c>
    </row>
    <row r="58" spans="1:23" x14ac:dyDescent="0.25">
      <c r="A58" s="1" t="s">
        <v>62</v>
      </c>
      <c r="B58" s="1" t="s">
        <v>108</v>
      </c>
      <c r="C58" s="1" t="s">
        <v>166</v>
      </c>
      <c r="D58" s="1" t="s">
        <v>110</v>
      </c>
      <c r="E58" s="1" t="s">
        <v>101</v>
      </c>
      <c r="F58" s="1" t="s">
        <v>112</v>
      </c>
      <c r="G58" s="1" t="s">
        <v>112</v>
      </c>
      <c r="H58" s="1" t="s">
        <v>110</v>
      </c>
      <c r="I58" s="1" t="s">
        <v>101</v>
      </c>
      <c r="J58" s="1" t="s">
        <v>114</v>
      </c>
      <c r="K58" s="1" t="s">
        <v>114</v>
      </c>
      <c r="L58" s="1" t="s">
        <v>102</v>
      </c>
      <c r="M58" s="1" t="s">
        <v>101</v>
      </c>
      <c r="N58" s="1" t="s">
        <v>112</v>
      </c>
      <c r="O58" s="1" t="s">
        <v>114</v>
      </c>
      <c r="P58" s="1" t="s">
        <v>102</v>
      </c>
      <c r="Q58" s="1" t="s">
        <v>101</v>
      </c>
      <c r="R58" s="1" t="s">
        <v>114</v>
      </c>
      <c r="S58" s="1" t="s">
        <v>112</v>
      </c>
      <c r="T58" s="1" t="str" cm="1">
        <f t="array" ref="T58">"9'b"&amp; _xlfn.XLOOKUP(--TRIM(D$3),--Mapping!$D$2:$D$5,Mapping!$E$2:$E$5) &amp; "_" &amp; $C58 &amp; ": return " &amp; "{" &amp; _xlfn.TEXTJOIN(", ", TRUE, _xlfn.XLOOKUP(--TRIM(D58:G58), --Mapping!$A$2:$A$6, Mapping!$B$2:$B$6)) &amp; "}" &amp; "; //  " &amp; D58 &amp; ",  "  &amp; E58 &amp; ",  "  &amp; F58 &amp; ",  "  &amp; G58</f>
        <v>9'b000_110110: return {3'b000, 3'b010, 3'b110, 3'b110}; //  0,  +2,  -2,  -2</v>
      </c>
      <c r="U58" s="1" t="str" cm="1">
        <f t="array" ref="U58">"9'b"&amp; _xlfn.XLOOKUP(--TRIM(H$3),--Mapping!$D$2:$D$5,Mapping!$E$2:$E$5) &amp; "_" &amp; $C58 &amp; ": return " &amp; "{" &amp; _xlfn.TEXTJOIN(", ", TRUE, _xlfn.XLOOKUP(--TRIM(H58:K58), --Mapping!$A$2:$A$6, Mapping!$B$2:$B$6)) &amp; "}" &amp; "; //  " &amp; H58 &amp; ",  "  &amp; I58 &amp; ",  "  &amp; J58 &amp; ",  "  &amp; K58</f>
        <v>9'b010_110110: return {3'b000, 3'b010, 3'b111, 3'b111}; //  0,  +2,  -1,  -1</v>
      </c>
      <c r="V58" s="1" t="str" cm="1">
        <f t="array" ref="V58">"9'b"&amp; _xlfn.XLOOKUP(--TRIM(L$3),--Mapping!$D$2:$D$5,Mapping!$E$2:$E$5) &amp; "_" &amp; $C58 &amp; ": return " &amp; "{" &amp; _xlfn.TEXTJOIN(", ", TRUE, _xlfn.XLOOKUP(--TRIM(L58:O58), --Mapping!$A$2:$A$6, Mapping!$B$2:$B$6)) &amp; "}" &amp; "; //  " &amp; L58 &amp; ",  "  &amp; M58 &amp; ",  "  &amp; N58 &amp; ",  "  &amp; O58</f>
        <v>9'b001_110110: return {3'b001, 3'b010, 3'b110, 3'b111}; //  +1,  +2,  -2,  -1</v>
      </c>
      <c r="W58" s="1" t="str" cm="1">
        <f t="array" ref="W58">"9'b"&amp; _xlfn.XLOOKUP(--TRIM(P$3),--Mapping!$D$2:$D$5,Mapping!$E$2:$E$5) &amp; "_" &amp; $C58 &amp; ": return " &amp; "{" &amp; _xlfn.TEXTJOIN(", ", TRUE, _xlfn.XLOOKUP(--TRIM(P58:S58), --Mapping!$A$2:$A$6, Mapping!$B$2:$B$6)) &amp; "}" &amp; "; //  " &amp; P58 &amp; ",  "  &amp; Q58 &amp; ",  "  &amp; R58 &amp; ",  "  &amp; S58</f>
        <v>9'b011_110110: return {3'b001, 3'b010, 3'b111, 3'b110}; //  +1,  +2,  -1,  -2</v>
      </c>
    </row>
    <row r="59" spans="1:23" x14ac:dyDescent="0.25">
      <c r="A59" s="1" t="s">
        <v>63</v>
      </c>
      <c r="B59" s="1" t="s">
        <v>108</v>
      </c>
      <c r="C59" s="1" t="s">
        <v>167</v>
      </c>
      <c r="D59" s="1" t="s">
        <v>112</v>
      </c>
      <c r="E59" s="1" t="s">
        <v>101</v>
      </c>
      <c r="F59" s="1" t="s">
        <v>112</v>
      </c>
      <c r="G59" s="1" t="s">
        <v>112</v>
      </c>
      <c r="H59" s="1" t="s">
        <v>112</v>
      </c>
      <c r="I59" s="1" t="s">
        <v>101</v>
      </c>
      <c r="J59" s="1" t="s">
        <v>114</v>
      </c>
      <c r="K59" s="1" t="s">
        <v>114</v>
      </c>
      <c r="L59" s="1" t="s">
        <v>114</v>
      </c>
      <c r="M59" s="1" t="s">
        <v>101</v>
      </c>
      <c r="N59" s="1" t="s">
        <v>112</v>
      </c>
      <c r="O59" s="1" t="s">
        <v>114</v>
      </c>
      <c r="P59" s="1" t="s">
        <v>114</v>
      </c>
      <c r="Q59" s="1" t="s">
        <v>101</v>
      </c>
      <c r="R59" s="1" t="s">
        <v>114</v>
      </c>
      <c r="S59" s="1" t="s">
        <v>112</v>
      </c>
      <c r="T59" s="1" t="str" cm="1">
        <f t="array" ref="T59">"9'b"&amp; _xlfn.XLOOKUP(--TRIM(D$3),--Mapping!$D$2:$D$5,Mapping!$E$2:$E$5) &amp; "_" &amp; $C59 &amp; ": return " &amp; "{" &amp; _xlfn.TEXTJOIN(", ", TRUE, _xlfn.XLOOKUP(--TRIM(D59:G59), --Mapping!$A$2:$A$6, Mapping!$B$2:$B$6)) &amp; "}" &amp; "; //  " &amp; D59 &amp; ",  "  &amp; E59 &amp; ",  "  &amp; F59 &amp; ",  "  &amp; G59</f>
        <v>9'b000_110111: return {3'b110, 3'b010, 3'b110, 3'b110}; //  -2,  +2,  -2,  -2</v>
      </c>
      <c r="U59" s="1" t="str" cm="1">
        <f t="array" ref="U59">"9'b"&amp; _xlfn.XLOOKUP(--TRIM(H$3),--Mapping!$D$2:$D$5,Mapping!$E$2:$E$5) &amp; "_" &amp; $C59 &amp; ": return " &amp; "{" &amp; _xlfn.TEXTJOIN(", ", TRUE, _xlfn.XLOOKUP(--TRIM(H59:K59), --Mapping!$A$2:$A$6, Mapping!$B$2:$B$6)) &amp; "}" &amp; "; //  " &amp; H59 &amp; ",  "  &amp; I59 &amp; ",  "  &amp; J59 &amp; ",  "  &amp; K59</f>
        <v>9'b010_110111: return {3'b110, 3'b010, 3'b111, 3'b111}; //  -2,  +2,  -1,  -1</v>
      </c>
      <c r="V59" s="1" t="str" cm="1">
        <f t="array" ref="V59">"9'b"&amp; _xlfn.XLOOKUP(--TRIM(L$3),--Mapping!$D$2:$D$5,Mapping!$E$2:$E$5) &amp; "_" &amp; $C59 &amp; ": return " &amp; "{" &amp; _xlfn.TEXTJOIN(", ", TRUE, _xlfn.XLOOKUP(--TRIM(L59:O59), --Mapping!$A$2:$A$6, Mapping!$B$2:$B$6)) &amp; "}" &amp; "; //  " &amp; L59 &amp; ",  "  &amp; M59 &amp; ",  "  &amp; N59 &amp; ",  "  &amp; O59</f>
        <v>9'b001_110111: return {3'b111, 3'b010, 3'b110, 3'b111}; //  -1,  +2,  -2,  -1</v>
      </c>
      <c r="W59" s="1" t="str" cm="1">
        <f t="array" ref="W59">"9'b"&amp; _xlfn.XLOOKUP(--TRIM(P$3),--Mapping!$D$2:$D$5,Mapping!$E$2:$E$5) &amp; "_" &amp; $C59 &amp; ": return " &amp; "{" &amp; _xlfn.TEXTJOIN(", ", TRUE, _xlfn.XLOOKUP(--TRIM(P59:S59), --Mapping!$A$2:$A$6, Mapping!$B$2:$B$6)) &amp; "}" &amp; "; //  " &amp; P59 &amp; ",  "  &amp; Q59 &amp; ",  "  &amp; R59 &amp; ",  "  &amp; S59</f>
        <v>9'b011_110111: return {3'b111, 3'b010, 3'b111, 3'b110}; //  -1,  +2,  -1,  -2</v>
      </c>
    </row>
    <row r="60" spans="1:23" x14ac:dyDescent="0.25">
      <c r="A60" s="1" t="s">
        <v>64</v>
      </c>
      <c r="B60" s="1" t="s">
        <v>108</v>
      </c>
      <c r="C60" s="1" t="s">
        <v>168</v>
      </c>
      <c r="D60" s="1" t="s">
        <v>110</v>
      </c>
      <c r="E60" s="1" t="s">
        <v>110</v>
      </c>
      <c r="F60" s="1" t="s">
        <v>110</v>
      </c>
      <c r="G60" s="1" t="s">
        <v>101</v>
      </c>
      <c r="H60" s="1" t="s">
        <v>102</v>
      </c>
      <c r="I60" s="1" t="s">
        <v>102</v>
      </c>
      <c r="J60" s="1" t="s">
        <v>110</v>
      </c>
      <c r="K60" s="1" t="s">
        <v>101</v>
      </c>
      <c r="L60" s="1" t="s">
        <v>110</v>
      </c>
      <c r="M60" s="1" t="s">
        <v>102</v>
      </c>
      <c r="N60" s="1" t="s">
        <v>102</v>
      </c>
      <c r="O60" s="1" t="s">
        <v>101</v>
      </c>
      <c r="P60" s="1" t="s">
        <v>102</v>
      </c>
      <c r="Q60" s="1" t="s">
        <v>110</v>
      </c>
      <c r="R60" s="1" t="s">
        <v>102</v>
      </c>
      <c r="S60" s="1" t="s">
        <v>101</v>
      </c>
      <c r="T60" s="1" t="str" cm="1">
        <f t="array" ref="T60">"9'b"&amp; _xlfn.XLOOKUP(--TRIM(D$3),--Mapping!$D$2:$D$5,Mapping!$E$2:$E$5) &amp; "_" &amp; $C60 &amp; ": return " &amp; "{" &amp; _xlfn.TEXTJOIN(", ", TRUE, _xlfn.XLOOKUP(--TRIM(D60:G60), --Mapping!$A$2:$A$6, Mapping!$B$2:$B$6)) &amp; "}" &amp; "; //  " &amp; D60 &amp; ",  "  &amp; E60 &amp; ",  "  &amp; F60 &amp; ",  "  &amp; G60</f>
        <v>9'b000_111000: return {3'b000, 3'b000, 3'b000, 3'b010}; //  0,  0,  0,  +2</v>
      </c>
      <c r="U60" s="1" t="str" cm="1">
        <f t="array" ref="U60">"9'b"&amp; _xlfn.XLOOKUP(--TRIM(H$3),--Mapping!$D$2:$D$5,Mapping!$E$2:$E$5) &amp; "_" &amp; $C60 &amp; ": return " &amp; "{" &amp; _xlfn.TEXTJOIN(", ", TRUE, _xlfn.XLOOKUP(--TRIM(H60:K60), --Mapping!$A$2:$A$6, Mapping!$B$2:$B$6)) &amp; "}" &amp; "; //  " &amp; H60 &amp; ",  "  &amp; I60 &amp; ",  "  &amp; J60 &amp; ",  "  &amp; K60</f>
        <v>9'b010_111000: return {3'b001, 3'b001, 3'b000, 3'b010}; //  +1,  +1,  0,  +2</v>
      </c>
      <c r="V60" s="1" t="str" cm="1">
        <f t="array" ref="V60">"9'b"&amp; _xlfn.XLOOKUP(--TRIM(L$3),--Mapping!$D$2:$D$5,Mapping!$E$2:$E$5) &amp; "_" &amp; $C60 &amp; ": return " &amp; "{" &amp; _xlfn.TEXTJOIN(", ", TRUE, _xlfn.XLOOKUP(--TRIM(L60:O60), --Mapping!$A$2:$A$6, Mapping!$B$2:$B$6)) &amp; "}" &amp; "; //  " &amp; L60 &amp; ",  "  &amp; M60 &amp; ",  "  &amp; N60 &amp; ",  "  &amp; O60</f>
        <v>9'b001_111000: return {3'b000, 3'b001, 3'b001, 3'b010}; //  0,  +1,  +1,  +2</v>
      </c>
      <c r="W60" s="1" t="str" cm="1">
        <f t="array" ref="W60">"9'b"&amp; _xlfn.XLOOKUP(--TRIM(P$3),--Mapping!$D$2:$D$5,Mapping!$E$2:$E$5) &amp; "_" &amp; $C60 &amp; ": return " &amp; "{" &amp; _xlfn.TEXTJOIN(", ", TRUE, _xlfn.XLOOKUP(--TRIM(P60:S60), --Mapping!$A$2:$A$6, Mapping!$B$2:$B$6)) &amp; "}" &amp; "; //  " &amp; P60 &amp; ",  "  &amp; Q60 &amp; ",  "  &amp; R60 &amp; ",  "  &amp; S60</f>
        <v>9'b011_111000: return {3'b001, 3'b000, 3'b001, 3'b010}; //  +1,  0,  +1,  +2</v>
      </c>
    </row>
    <row r="61" spans="1:23" x14ac:dyDescent="0.25">
      <c r="A61" s="1" t="s">
        <v>65</v>
      </c>
      <c r="B61" s="1" t="s">
        <v>108</v>
      </c>
      <c r="C61" s="1" t="s">
        <v>169</v>
      </c>
      <c r="D61" s="1" t="s">
        <v>112</v>
      </c>
      <c r="E61" s="1" t="s">
        <v>110</v>
      </c>
      <c r="F61" s="1" t="s">
        <v>110</v>
      </c>
      <c r="G61" s="1" t="s">
        <v>101</v>
      </c>
      <c r="H61" s="1" t="s">
        <v>114</v>
      </c>
      <c r="I61" s="1" t="s">
        <v>102</v>
      </c>
      <c r="J61" s="1" t="s">
        <v>110</v>
      </c>
      <c r="K61" s="1" t="s">
        <v>101</v>
      </c>
      <c r="L61" s="1" t="s">
        <v>112</v>
      </c>
      <c r="M61" s="1" t="s">
        <v>102</v>
      </c>
      <c r="N61" s="1" t="s">
        <v>102</v>
      </c>
      <c r="O61" s="1" t="s">
        <v>101</v>
      </c>
      <c r="P61" s="1" t="s">
        <v>114</v>
      </c>
      <c r="Q61" s="1" t="s">
        <v>110</v>
      </c>
      <c r="R61" s="1" t="s">
        <v>102</v>
      </c>
      <c r="S61" s="1" t="s">
        <v>101</v>
      </c>
      <c r="T61" s="1" t="str" cm="1">
        <f t="array" ref="T61">"9'b"&amp; _xlfn.XLOOKUP(--TRIM(D$3),--Mapping!$D$2:$D$5,Mapping!$E$2:$E$5) &amp; "_" &amp; $C61 &amp; ": return " &amp; "{" &amp; _xlfn.TEXTJOIN(", ", TRUE, _xlfn.XLOOKUP(--TRIM(D61:G61), --Mapping!$A$2:$A$6, Mapping!$B$2:$B$6)) &amp; "}" &amp; "; //  " &amp; D61 &amp; ",  "  &amp; E61 &amp; ",  "  &amp; F61 &amp; ",  "  &amp; G61</f>
        <v>9'b000_111001: return {3'b110, 3'b000, 3'b000, 3'b010}; //  -2,  0,  0,  +2</v>
      </c>
      <c r="U61" s="1" t="str" cm="1">
        <f t="array" ref="U61">"9'b"&amp; _xlfn.XLOOKUP(--TRIM(H$3),--Mapping!$D$2:$D$5,Mapping!$E$2:$E$5) &amp; "_" &amp; $C61 &amp; ": return " &amp; "{" &amp; _xlfn.TEXTJOIN(", ", TRUE, _xlfn.XLOOKUP(--TRIM(H61:K61), --Mapping!$A$2:$A$6, Mapping!$B$2:$B$6)) &amp; "}" &amp; "; //  " &amp; H61 &amp; ",  "  &amp; I61 &amp; ",  "  &amp; J61 &amp; ",  "  &amp; K61</f>
        <v>9'b010_111001: return {3'b111, 3'b001, 3'b000, 3'b010}; //  -1,  +1,  0,  +2</v>
      </c>
      <c r="V61" s="1" t="str" cm="1">
        <f t="array" ref="V61">"9'b"&amp; _xlfn.XLOOKUP(--TRIM(L$3),--Mapping!$D$2:$D$5,Mapping!$E$2:$E$5) &amp; "_" &amp; $C61 &amp; ": return " &amp; "{" &amp; _xlfn.TEXTJOIN(", ", TRUE, _xlfn.XLOOKUP(--TRIM(L61:O61), --Mapping!$A$2:$A$6, Mapping!$B$2:$B$6)) &amp; "}" &amp; "; //  " &amp; L61 &amp; ",  "  &amp; M61 &amp; ",  "  &amp; N61 &amp; ",  "  &amp; O61</f>
        <v>9'b001_111001: return {3'b110, 3'b001, 3'b001, 3'b010}; //  -2,  +1,  +1,  +2</v>
      </c>
      <c r="W61" s="1" t="str" cm="1">
        <f t="array" ref="W61">"9'b"&amp; _xlfn.XLOOKUP(--TRIM(P$3),--Mapping!$D$2:$D$5,Mapping!$E$2:$E$5) &amp; "_" &amp; $C61 &amp; ": return " &amp; "{" &amp; _xlfn.TEXTJOIN(", ", TRUE, _xlfn.XLOOKUP(--TRIM(P61:S61), --Mapping!$A$2:$A$6, Mapping!$B$2:$B$6)) &amp; "}" &amp; "; //  " &amp; P61 &amp; ",  "  &amp; Q61 &amp; ",  "  &amp; R61 &amp; ",  "  &amp; S61</f>
        <v>9'b011_111001: return {3'b111, 3'b000, 3'b001, 3'b010}; //  -1,  0,  +1,  +2</v>
      </c>
    </row>
    <row r="62" spans="1:23" x14ac:dyDescent="0.25">
      <c r="A62" s="1" t="s">
        <v>66</v>
      </c>
      <c r="B62" s="1" t="s">
        <v>108</v>
      </c>
      <c r="C62" s="1" t="s">
        <v>170</v>
      </c>
      <c r="D62" s="1" t="s">
        <v>110</v>
      </c>
      <c r="E62" s="1" t="s">
        <v>112</v>
      </c>
      <c r="F62" s="1" t="s">
        <v>110</v>
      </c>
      <c r="G62" s="1" t="s">
        <v>101</v>
      </c>
      <c r="H62" s="1" t="s">
        <v>102</v>
      </c>
      <c r="I62" s="1" t="s">
        <v>114</v>
      </c>
      <c r="J62" s="1" t="s">
        <v>110</v>
      </c>
      <c r="K62" s="1" t="s">
        <v>101</v>
      </c>
      <c r="L62" s="1" t="s">
        <v>110</v>
      </c>
      <c r="M62" s="1" t="s">
        <v>114</v>
      </c>
      <c r="N62" s="1" t="s">
        <v>102</v>
      </c>
      <c r="O62" s="1" t="s">
        <v>101</v>
      </c>
      <c r="P62" s="1" t="s">
        <v>102</v>
      </c>
      <c r="Q62" s="1" t="s">
        <v>112</v>
      </c>
      <c r="R62" s="1" t="s">
        <v>102</v>
      </c>
      <c r="S62" s="1" t="s">
        <v>101</v>
      </c>
      <c r="T62" s="1" t="str" cm="1">
        <f t="array" ref="T62">"9'b"&amp; _xlfn.XLOOKUP(--TRIM(D$3),--Mapping!$D$2:$D$5,Mapping!$E$2:$E$5) &amp; "_" &amp; $C62 &amp; ": return " &amp; "{" &amp; _xlfn.TEXTJOIN(", ", TRUE, _xlfn.XLOOKUP(--TRIM(D62:G62), --Mapping!$A$2:$A$6, Mapping!$B$2:$B$6)) &amp; "}" &amp; "; //  " &amp; D62 &amp; ",  "  &amp; E62 &amp; ",  "  &amp; F62 &amp; ",  "  &amp; G62</f>
        <v>9'b000_111010: return {3'b000, 3'b110, 3'b000, 3'b010}; //  0,  -2,  0,  +2</v>
      </c>
      <c r="U62" s="1" t="str" cm="1">
        <f t="array" ref="U62">"9'b"&amp; _xlfn.XLOOKUP(--TRIM(H$3),--Mapping!$D$2:$D$5,Mapping!$E$2:$E$5) &amp; "_" &amp; $C62 &amp; ": return " &amp; "{" &amp; _xlfn.TEXTJOIN(", ", TRUE, _xlfn.XLOOKUP(--TRIM(H62:K62), --Mapping!$A$2:$A$6, Mapping!$B$2:$B$6)) &amp; "}" &amp; "; //  " &amp; H62 &amp; ",  "  &amp; I62 &amp; ",  "  &amp; J62 &amp; ",  "  &amp; K62</f>
        <v>9'b010_111010: return {3'b001, 3'b111, 3'b000, 3'b010}; //  +1,  -1,  0,  +2</v>
      </c>
      <c r="V62" s="1" t="str" cm="1">
        <f t="array" ref="V62">"9'b"&amp; _xlfn.XLOOKUP(--TRIM(L$3),--Mapping!$D$2:$D$5,Mapping!$E$2:$E$5) &amp; "_" &amp; $C62 &amp; ": return " &amp; "{" &amp; _xlfn.TEXTJOIN(", ", TRUE, _xlfn.XLOOKUP(--TRIM(L62:O62), --Mapping!$A$2:$A$6, Mapping!$B$2:$B$6)) &amp; "}" &amp; "; //  " &amp; L62 &amp; ",  "  &amp; M62 &amp; ",  "  &amp; N62 &amp; ",  "  &amp; O62</f>
        <v>9'b001_111010: return {3'b000, 3'b111, 3'b001, 3'b010}; //  0,  -1,  +1,  +2</v>
      </c>
      <c r="W62" s="1" t="str" cm="1">
        <f t="array" ref="W62">"9'b"&amp; _xlfn.XLOOKUP(--TRIM(P$3),--Mapping!$D$2:$D$5,Mapping!$E$2:$E$5) &amp; "_" &amp; $C62 &amp; ": return " &amp; "{" &amp; _xlfn.TEXTJOIN(", ", TRUE, _xlfn.XLOOKUP(--TRIM(P62:S62), --Mapping!$A$2:$A$6, Mapping!$B$2:$B$6)) &amp; "}" &amp; "; //  " &amp; P62 &amp; ",  "  &amp; Q62 &amp; ",  "  &amp; R62 &amp; ",  "  &amp; S62</f>
        <v>9'b011_111010: return {3'b001, 3'b110, 3'b001, 3'b010}; //  +1,  -2,  +1,  +2</v>
      </c>
    </row>
    <row r="63" spans="1:23" x14ac:dyDescent="0.25">
      <c r="A63" s="1" t="s">
        <v>67</v>
      </c>
      <c r="B63" s="1" t="s">
        <v>108</v>
      </c>
      <c r="C63" s="1" t="s">
        <v>171</v>
      </c>
      <c r="D63" s="1" t="s">
        <v>112</v>
      </c>
      <c r="E63" s="1" t="s">
        <v>112</v>
      </c>
      <c r="F63" s="1" t="s">
        <v>110</v>
      </c>
      <c r="G63" s="1" t="s">
        <v>101</v>
      </c>
      <c r="H63" s="1" t="s">
        <v>114</v>
      </c>
      <c r="I63" s="1" t="s">
        <v>114</v>
      </c>
      <c r="J63" s="1" t="s">
        <v>110</v>
      </c>
      <c r="K63" s="1" t="s">
        <v>101</v>
      </c>
      <c r="L63" s="1" t="s">
        <v>112</v>
      </c>
      <c r="M63" s="1" t="s">
        <v>114</v>
      </c>
      <c r="N63" s="1" t="s">
        <v>102</v>
      </c>
      <c r="O63" s="1" t="s">
        <v>101</v>
      </c>
      <c r="P63" s="1" t="s">
        <v>114</v>
      </c>
      <c r="Q63" s="1" t="s">
        <v>112</v>
      </c>
      <c r="R63" s="1" t="s">
        <v>102</v>
      </c>
      <c r="S63" s="1" t="s">
        <v>101</v>
      </c>
      <c r="T63" s="1" t="str" cm="1">
        <f t="array" ref="T63">"9'b"&amp; _xlfn.XLOOKUP(--TRIM(D$3),--Mapping!$D$2:$D$5,Mapping!$E$2:$E$5) &amp; "_" &amp; $C63 &amp; ": return " &amp; "{" &amp; _xlfn.TEXTJOIN(", ", TRUE, _xlfn.XLOOKUP(--TRIM(D63:G63), --Mapping!$A$2:$A$6, Mapping!$B$2:$B$6)) &amp; "}" &amp; "; //  " &amp; D63 &amp; ",  "  &amp; E63 &amp; ",  "  &amp; F63 &amp; ",  "  &amp; G63</f>
        <v>9'b000_111011: return {3'b110, 3'b110, 3'b000, 3'b010}; //  -2,  -2,  0,  +2</v>
      </c>
      <c r="U63" s="1" t="str" cm="1">
        <f t="array" ref="U63">"9'b"&amp; _xlfn.XLOOKUP(--TRIM(H$3),--Mapping!$D$2:$D$5,Mapping!$E$2:$E$5) &amp; "_" &amp; $C63 &amp; ": return " &amp; "{" &amp; _xlfn.TEXTJOIN(", ", TRUE, _xlfn.XLOOKUP(--TRIM(H63:K63), --Mapping!$A$2:$A$6, Mapping!$B$2:$B$6)) &amp; "}" &amp; "; //  " &amp; H63 &amp; ",  "  &amp; I63 &amp; ",  "  &amp; J63 &amp; ",  "  &amp; K63</f>
        <v>9'b010_111011: return {3'b111, 3'b111, 3'b000, 3'b010}; //  -1,  -1,  0,  +2</v>
      </c>
      <c r="V63" s="1" t="str" cm="1">
        <f t="array" ref="V63">"9'b"&amp; _xlfn.XLOOKUP(--TRIM(L$3),--Mapping!$D$2:$D$5,Mapping!$E$2:$E$5) &amp; "_" &amp; $C63 &amp; ": return " &amp; "{" &amp; _xlfn.TEXTJOIN(", ", TRUE, _xlfn.XLOOKUP(--TRIM(L63:O63), --Mapping!$A$2:$A$6, Mapping!$B$2:$B$6)) &amp; "}" &amp; "; //  " &amp; L63 &amp; ",  "  &amp; M63 &amp; ",  "  &amp; N63 &amp; ",  "  &amp; O63</f>
        <v>9'b001_111011: return {3'b110, 3'b111, 3'b001, 3'b010}; //  -2,  -1,  +1,  +2</v>
      </c>
      <c r="W63" s="1" t="str" cm="1">
        <f t="array" ref="W63">"9'b"&amp; _xlfn.XLOOKUP(--TRIM(P$3),--Mapping!$D$2:$D$5,Mapping!$E$2:$E$5) &amp; "_" &amp; $C63 &amp; ": return " &amp; "{" &amp; _xlfn.TEXTJOIN(", ", TRUE, _xlfn.XLOOKUP(--TRIM(P63:S63), --Mapping!$A$2:$A$6, Mapping!$B$2:$B$6)) &amp; "}" &amp; "; //  " &amp; P63 &amp; ",  "  &amp; Q63 &amp; ",  "  &amp; R63 &amp; ",  "  &amp; S63</f>
        <v>9'b011_111011: return {3'b111, 3'b110, 3'b001, 3'b010}; //  -1,  -2,  +1,  +2</v>
      </c>
    </row>
    <row r="64" spans="1:23" x14ac:dyDescent="0.25">
      <c r="A64" s="1" t="s">
        <v>68</v>
      </c>
      <c r="B64" s="1" t="s">
        <v>108</v>
      </c>
      <c r="C64" s="1" t="s">
        <v>172</v>
      </c>
      <c r="D64" s="1" t="s">
        <v>110</v>
      </c>
      <c r="E64" s="1" t="s">
        <v>110</v>
      </c>
      <c r="F64" s="1" t="s">
        <v>112</v>
      </c>
      <c r="G64" s="1" t="s">
        <v>101</v>
      </c>
      <c r="H64" s="1" t="s">
        <v>102</v>
      </c>
      <c r="I64" s="1" t="s">
        <v>102</v>
      </c>
      <c r="J64" s="1" t="s">
        <v>112</v>
      </c>
      <c r="K64" s="1" t="s">
        <v>101</v>
      </c>
      <c r="L64" s="1" t="s">
        <v>110</v>
      </c>
      <c r="M64" s="1" t="s">
        <v>102</v>
      </c>
      <c r="N64" s="1" t="s">
        <v>114</v>
      </c>
      <c r="O64" s="1" t="s">
        <v>101</v>
      </c>
      <c r="P64" s="1" t="s">
        <v>102</v>
      </c>
      <c r="Q64" s="1" t="s">
        <v>110</v>
      </c>
      <c r="R64" s="1" t="s">
        <v>114</v>
      </c>
      <c r="S64" s="1" t="s">
        <v>101</v>
      </c>
      <c r="T64" s="1" t="str" cm="1">
        <f t="array" ref="T64">"9'b"&amp; _xlfn.XLOOKUP(--TRIM(D$3),--Mapping!$D$2:$D$5,Mapping!$E$2:$E$5) &amp; "_" &amp; $C64 &amp; ": return " &amp; "{" &amp; _xlfn.TEXTJOIN(", ", TRUE, _xlfn.XLOOKUP(--TRIM(D64:G64), --Mapping!$A$2:$A$6, Mapping!$B$2:$B$6)) &amp; "}" &amp; "; //  " &amp; D64 &amp; ",  "  &amp; E64 &amp; ",  "  &amp; F64 &amp; ",  "  &amp; G64</f>
        <v>9'b000_111100: return {3'b000, 3'b000, 3'b110, 3'b010}; //  0,  0,  -2,  +2</v>
      </c>
      <c r="U64" s="1" t="str" cm="1">
        <f t="array" ref="U64">"9'b"&amp; _xlfn.XLOOKUP(--TRIM(H$3),--Mapping!$D$2:$D$5,Mapping!$E$2:$E$5) &amp; "_" &amp; $C64 &amp; ": return " &amp; "{" &amp; _xlfn.TEXTJOIN(", ", TRUE, _xlfn.XLOOKUP(--TRIM(H64:K64), --Mapping!$A$2:$A$6, Mapping!$B$2:$B$6)) &amp; "}" &amp; "; //  " &amp; H64 &amp; ",  "  &amp; I64 &amp; ",  "  &amp; J64 &amp; ",  "  &amp; K64</f>
        <v>9'b010_111100: return {3'b001, 3'b001, 3'b110, 3'b010}; //  +1,  +1,  -2,  +2</v>
      </c>
      <c r="V64" s="1" t="str" cm="1">
        <f t="array" ref="V64">"9'b"&amp; _xlfn.XLOOKUP(--TRIM(L$3),--Mapping!$D$2:$D$5,Mapping!$E$2:$E$5) &amp; "_" &amp; $C64 &amp; ": return " &amp; "{" &amp; _xlfn.TEXTJOIN(", ", TRUE, _xlfn.XLOOKUP(--TRIM(L64:O64), --Mapping!$A$2:$A$6, Mapping!$B$2:$B$6)) &amp; "}" &amp; "; //  " &amp; L64 &amp; ",  "  &amp; M64 &amp; ",  "  &amp; N64 &amp; ",  "  &amp; O64</f>
        <v>9'b001_111100: return {3'b000, 3'b001, 3'b111, 3'b010}; //  0,  +1,  -1,  +2</v>
      </c>
      <c r="W64" s="1" t="str" cm="1">
        <f t="array" ref="W64">"9'b"&amp; _xlfn.XLOOKUP(--TRIM(P$3),--Mapping!$D$2:$D$5,Mapping!$E$2:$E$5) &amp; "_" &amp; $C64 &amp; ": return " &amp; "{" &amp; _xlfn.TEXTJOIN(", ", TRUE, _xlfn.XLOOKUP(--TRIM(P64:S64), --Mapping!$A$2:$A$6, Mapping!$B$2:$B$6)) &amp; "}" &amp; "; //  " &amp; P64 &amp; ",  "  &amp; Q64 &amp; ",  "  &amp; R64 &amp; ",  "  &amp; S64</f>
        <v>9'b011_111100: return {3'b001, 3'b000, 3'b111, 3'b010}; //  +1,  0,  -1,  +2</v>
      </c>
    </row>
    <row r="65" spans="1:23" x14ac:dyDescent="0.25">
      <c r="A65" s="1" t="s">
        <v>69</v>
      </c>
      <c r="B65" s="1" t="s">
        <v>108</v>
      </c>
      <c r="C65" s="1" t="s">
        <v>173</v>
      </c>
      <c r="D65" s="1" t="s">
        <v>112</v>
      </c>
      <c r="E65" s="1" t="s">
        <v>110</v>
      </c>
      <c r="F65" s="1" t="s">
        <v>112</v>
      </c>
      <c r="G65" s="1" t="s">
        <v>101</v>
      </c>
      <c r="H65" s="1" t="s">
        <v>114</v>
      </c>
      <c r="I65" s="1" t="s">
        <v>102</v>
      </c>
      <c r="J65" s="1" t="s">
        <v>112</v>
      </c>
      <c r="K65" s="1" t="s">
        <v>101</v>
      </c>
      <c r="L65" s="1" t="s">
        <v>112</v>
      </c>
      <c r="M65" s="1" t="s">
        <v>102</v>
      </c>
      <c r="N65" s="1" t="s">
        <v>114</v>
      </c>
      <c r="O65" s="1" t="s">
        <v>101</v>
      </c>
      <c r="P65" s="1" t="s">
        <v>114</v>
      </c>
      <c r="Q65" s="1" t="s">
        <v>110</v>
      </c>
      <c r="R65" s="1" t="s">
        <v>114</v>
      </c>
      <c r="S65" s="1" t="s">
        <v>101</v>
      </c>
      <c r="T65" s="1" t="str" cm="1">
        <f t="array" ref="T65">"9'b"&amp; _xlfn.XLOOKUP(--TRIM(D$3),--Mapping!$D$2:$D$5,Mapping!$E$2:$E$5) &amp; "_" &amp; $C65 &amp; ": return " &amp; "{" &amp; _xlfn.TEXTJOIN(", ", TRUE, _xlfn.XLOOKUP(--TRIM(D65:G65), --Mapping!$A$2:$A$6, Mapping!$B$2:$B$6)) &amp; "}" &amp; "; //  " &amp; D65 &amp; ",  "  &amp; E65 &amp; ",  "  &amp; F65 &amp; ",  "  &amp; G65</f>
        <v>9'b000_111101: return {3'b110, 3'b000, 3'b110, 3'b010}; //  -2,  0,  -2,  +2</v>
      </c>
      <c r="U65" s="1" t="str" cm="1">
        <f t="array" ref="U65">"9'b"&amp; _xlfn.XLOOKUP(--TRIM(H$3),--Mapping!$D$2:$D$5,Mapping!$E$2:$E$5) &amp; "_" &amp; $C65 &amp; ": return " &amp; "{" &amp; _xlfn.TEXTJOIN(", ", TRUE, _xlfn.XLOOKUP(--TRIM(H65:K65), --Mapping!$A$2:$A$6, Mapping!$B$2:$B$6)) &amp; "}" &amp; "; //  " &amp; H65 &amp; ",  "  &amp; I65 &amp; ",  "  &amp; J65 &amp; ",  "  &amp; K65</f>
        <v>9'b010_111101: return {3'b111, 3'b001, 3'b110, 3'b010}; //  -1,  +1,  -2,  +2</v>
      </c>
      <c r="V65" s="1" t="str" cm="1">
        <f t="array" ref="V65">"9'b"&amp; _xlfn.XLOOKUP(--TRIM(L$3),--Mapping!$D$2:$D$5,Mapping!$E$2:$E$5) &amp; "_" &amp; $C65 &amp; ": return " &amp; "{" &amp; _xlfn.TEXTJOIN(", ", TRUE, _xlfn.XLOOKUP(--TRIM(L65:O65), --Mapping!$A$2:$A$6, Mapping!$B$2:$B$6)) &amp; "}" &amp; "; //  " &amp; L65 &amp; ",  "  &amp; M65 &amp; ",  "  &amp; N65 &amp; ",  "  &amp; O65</f>
        <v>9'b001_111101: return {3'b110, 3'b001, 3'b111, 3'b010}; //  -2,  +1,  -1,  +2</v>
      </c>
      <c r="W65" s="1" t="str" cm="1">
        <f t="array" ref="W65">"9'b"&amp; _xlfn.XLOOKUP(--TRIM(P$3),--Mapping!$D$2:$D$5,Mapping!$E$2:$E$5) &amp; "_" &amp; $C65 &amp; ": return " &amp; "{" &amp; _xlfn.TEXTJOIN(", ", TRUE, _xlfn.XLOOKUP(--TRIM(P65:S65), --Mapping!$A$2:$A$6, Mapping!$B$2:$B$6)) &amp; "}" &amp; "; //  " &amp; P65 &amp; ",  "  &amp; Q65 &amp; ",  "  &amp; R65 &amp; ",  "  &amp; S65</f>
        <v>9'b011_111101: return {3'b111, 3'b000, 3'b111, 3'b010}; //  -1,  0,  -1,  +2</v>
      </c>
    </row>
    <row r="66" spans="1:23" x14ac:dyDescent="0.25">
      <c r="A66" s="1" t="s">
        <v>70</v>
      </c>
      <c r="B66" s="1" t="s">
        <v>108</v>
      </c>
      <c r="C66" s="1" t="s">
        <v>174</v>
      </c>
      <c r="D66" s="1" t="s">
        <v>110</v>
      </c>
      <c r="E66" s="1" t="s">
        <v>112</v>
      </c>
      <c r="F66" s="1" t="s">
        <v>112</v>
      </c>
      <c r="G66" s="1" t="s">
        <v>101</v>
      </c>
      <c r="H66" s="1" t="s">
        <v>102</v>
      </c>
      <c r="I66" s="1" t="s">
        <v>114</v>
      </c>
      <c r="J66" s="1" t="s">
        <v>112</v>
      </c>
      <c r="K66" s="1" t="s">
        <v>101</v>
      </c>
      <c r="L66" s="1" t="s">
        <v>110</v>
      </c>
      <c r="M66" s="1" t="s">
        <v>114</v>
      </c>
      <c r="N66" s="1" t="s">
        <v>114</v>
      </c>
      <c r="O66" s="1" t="s">
        <v>101</v>
      </c>
      <c r="P66" s="1" t="s">
        <v>102</v>
      </c>
      <c r="Q66" s="1" t="s">
        <v>112</v>
      </c>
      <c r="R66" s="1" t="s">
        <v>114</v>
      </c>
      <c r="S66" s="1" t="s">
        <v>101</v>
      </c>
      <c r="T66" s="1" t="str" cm="1">
        <f t="array" ref="T66">"9'b"&amp; _xlfn.XLOOKUP(--TRIM(D$3),--Mapping!$D$2:$D$5,Mapping!$E$2:$E$5) &amp; "_" &amp; $C66 &amp; ": return " &amp; "{" &amp; _xlfn.TEXTJOIN(", ", TRUE, _xlfn.XLOOKUP(--TRIM(D66:G66), --Mapping!$A$2:$A$6, Mapping!$B$2:$B$6)) &amp; "}" &amp; "; //  " &amp; D66 &amp; ",  "  &amp; E66 &amp; ",  "  &amp; F66 &amp; ",  "  &amp; G66</f>
        <v>9'b000_111110: return {3'b000, 3'b110, 3'b110, 3'b010}; //  0,  -2,  -2,  +2</v>
      </c>
      <c r="U66" s="1" t="str" cm="1">
        <f t="array" ref="U66">"9'b"&amp; _xlfn.XLOOKUP(--TRIM(H$3),--Mapping!$D$2:$D$5,Mapping!$E$2:$E$5) &amp; "_" &amp; $C66 &amp; ": return " &amp; "{" &amp; _xlfn.TEXTJOIN(", ", TRUE, _xlfn.XLOOKUP(--TRIM(H66:K66), --Mapping!$A$2:$A$6, Mapping!$B$2:$B$6)) &amp; "}" &amp; "; //  " &amp; H66 &amp; ",  "  &amp; I66 &amp; ",  "  &amp; J66 &amp; ",  "  &amp; K66</f>
        <v>9'b010_111110: return {3'b001, 3'b111, 3'b110, 3'b010}; //  +1,  -1,  -2,  +2</v>
      </c>
      <c r="V66" s="1" t="str" cm="1">
        <f t="array" ref="V66">"9'b"&amp; _xlfn.XLOOKUP(--TRIM(L$3),--Mapping!$D$2:$D$5,Mapping!$E$2:$E$5) &amp; "_" &amp; $C66 &amp; ": return " &amp; "{" &amp; _xlfn.TEXTJOIN(", ", TRUE, _xlfn.XLOOKUP(--TRIM(L66:O66), --Mapping!$A$2:$A$6, Mapping!$B$2:$B$6)) &amp; "}" &amp; "; //  " &amp; L66 &amp; ",  "  &amp; M66 &amp; ",  "  &amp; N66 &amp; ",  "  &amp; O66</f>
        <v>9'b001_111110: return {3'b000, 3'b111, 3'b111, 3'b010}; //  0,  -1,  -1,  +2</v>
      </c>
      <c r="W66" s="1" t="str" cm="1">
        <f t="array" ref="W66">"9'b"&amp; _xlfn.XLOOKUP(--TRIM(P$3),--Mapping!$D$2:$D$5,Mapping!$E$2:$E$5) &amp; "_" &amp; $C66 &amp; ": return " &amp; "{" &amp; _xlfn.TEXTJOIN(", ", TRUE, _xlfn.XLOOKUP(--TRIM(P66:S66), --Mapping!$A$2:$A$6, Mapping!$B$2:$B$6)) &amp; "}" &amp; "; //  " &amp; P66 &amp; ",  "  &amp; Q66 &amp; ",  "  &amp; R66 &amp; ",  "  &amp; S66</f>
        <v>9'b011_111110: return {3'b001, 3'b110, 3'b111, 3'b010}; //  +1,  -2,  -1,  +2</v>
      </c>
    </row>
    <row r="67" spans="1:23" x14ac:dyDescent="0.25">
      <c r="A67" s="1" t="s">
        <v>71</v>
      </c>
      <c r="B67" s="1" t="s">
        <v>108</v>
      </c>
      <c r="C67" s="1" t="s">
        <v>175</v>
      </c>
      <c r="D67" s="1" t="s">
        <v>112</v>
      </c>
      <c r="E67" s="1" t="s">
        <v>112</v>
      </c>
      <c r="F67" s="1" t="s">
        <v>112</v>
      </c>
      <c r="G67" s="1" t="s">
        <v>101</v>
      </c>
      <c r="H67" s="1" t="s">
        <v>114</v>
      </c>
      <c r="I67" s="1" t="s">
        <v>114</v>
      </c>
      <c r="J67" s="1" t="s">
        <v>112</v>
      </c>
      <c r="K67" s="1" t="s">
        <v>101</v>
      </c>
      <c r="L67" s="1" t="s">
        <v>112</v>
      </c>
      <c r="M67" s="1" t="s">
        <v>114</v>
      </c>
      <c r="N67" s="1" t="s">
        <v>114</v>
      </c>
      <c r="O67" s="1" t="s">
        <v>101</v>
      </c>
      <c r="P67" s="1" t="s">
        <v>114</v>
      </c>
      <c r="Q67" s="1" t="s">
        <v>112</v>
      </c>
      <c r="R67" s="1" t="s">
        <v>114</v>
      </c>
      <c r="S67" s="1" t="s">
        <v>101</v>
      </c>
      <c r="T67" s="1" t="str" cm="1">
        <f t="array" ref="T67">"9'b"&amp; _xlfn.XLOOKUP(--TRIM(D$3),--Mapping!$D$2:$D$5,Mapping!$E$2:$E$5) &amp; "_" &amp; $C67 &amp; ": return " &amp; "{" &amp; _xlfn.TEXTJOIN(", ", TRUE, _xlfn.XLOOKUP(--TRIM(D67:G67), --Mapping!$A$2:$A$6, Mapping!$B$2:$B$6)) &amp; "}" &amp; "; //  " &amp; D67 &amp; ",  "  &amp; E67 &amp; ",  "  &amp; F67 &amp; ",  "  &amp; G67</f>
        <v>9'b000_111111: return {3'b110, 3'b110, 3'b110, 3'b010}; //  -2,  -2,  -2,  +2</v>
      </c>
      <c r="U67" s="1" t="str" cm="1">
        <f t="array" ref="U67">"9'b"&amp; _xlfn.XLOOKUP(--TRIM(H$3),--Mapping!$D$2:$D$5,Mapping!$E$2:$E$5) &amp; "_" &amp; $C67 &amp; ": return " &amp; "{" &amp; _xlfn.TEXTJOIN(", ", TRUE, _xlfn.XLOOKUP(--TRIM(H67:K67), --Mapping!$A$2:$A$6, Mapping!$B$2:$B$6)) &amp; "}" &amp; "; //  " &amp; H67 &amp; ",  "  &amp; I67 &amp; ",  "  &amp; J67 &amp; ",  "  &amp; K67</f>
        <v>9'b010_111111: return {3'b111, 3'b111, 3'b110, 3'b010}; //  -1,  -1,  -2,  +2</v>
      </c>
      <c r="V67" s="1" t="str" cm="1">
        <f t="array" ref="V67">"9'b"&amp; _xlfn.XLOOKUP(--TRIM(L$3),--Mapping!$D$2:$D$5,Mapping!$E$2:$E$5) &amp; "_" &amp; $C67 &amp; ": return " &amp; "{" &amp; _xlfn.TEXTJOIN(", ", TRUE, _xlfn.XLOOKUP(--TRIM(L67:O67), --Mapping!$A$2:$A$6, Mapping!$B$2:$B$6)) &amp; "}" &amp; "; //  " &amp; L67 &amp; ",  "  &amp; M67 &amp; ",  "  &amp; N67 &amp; ",  "  &amp; O67</f>
        <v>9'b001_111111: return {3'b110, 3'b111, 3'b111, 3'b010}; //  -2,  -1,  -1,  +2</v>
      </c>
      <c r="W67" s="1" t="str" cm="1">
        <f t="array" ref="W67">"9'b"&amp; _xlfn.XLOOKUP(--TRIM(P$3),--Mapping!$D$2:$D$5,Mapping!$E$2:$E$5) &amp; "_" &amp; $C67 &amp; ": return " &amp; "{" &amp; _xlfn.TEXTJOIN(", ", TRUE, _xlfn.XLOOKUP(--TRIM(P67:S67), --Mapping!$A$2:$A$6, Mapping!$B$2:$B$6)) &amp; "}" &amp; "; //  " &amp; P67 &amp; ",  "  &amp; Q67 &amp; ",  "  &amp; R67 &amp; ",  "  &amp; S67</f>
        <v>9'b011_111111: return {3'b111, 3'b110, 3'b111, 3'b010}; //  -1,  -2,  -1,  +2</v>
      </c>
    </row>
    <row r="68" spans="1:23" x14ac:dyDescent="0.25">
      <c r="A68" s="16" t="s">
        <v>72</v>
      </c>
      <c r="B68" s="16" t="s">
        <v>176</v>
      </c>
      <c r="C68" s="16" t="s">
        <v>177</v>
      </c>
      <c r="D68" s="16" t="s">
        <v>110</v>
      </c>
      <c r="E68" s="16" t="s">
        <v>101</v>
      </c>
      <c r="F68" s="16" t="s">
        <v>101</v>
      </c>
      <c r="G68" s="16" t="s">
        <v>110</v>
      </c>
      <c r="H68" s="16" t="s">
        <v>102</v>
      </c>
      <c r="I68" s="16" t="s">
        <v>102</v>
      </c>
      <c r="J68" s="16" t="s">
        <v>101</v>
      </c>
      <c r="K68" s="16" t="s">
        <v>101</v>
      </c>
      <c r="L68" s="16" t="s">
        <v>101</v>
      </c>
      <c r="M68" s="16" t="s">
        <v>102</v>
      </c>
      <c r="N68" s="16" t="s">
        <v>102</v>
      </c>
      <c r="O68" s="16" t="s">
        <v>101</v>
      </c>
      <c r="P68" s="16" t="s">
        <v>101</v>
      </c>
      <c r="Q68" s="16" t="s">
        <v>102</v>
      </c>
      <c r="R68" s="16" t="s">
        <v>101</v>
      </c>
      <c r="S68" s="16" t="s">
        <v>102</v>
      </c>
    </row>
    <row r="69" spans="1:23" x14ac:dyDescent="0.25">
      <c r="A69" s="16" t="s">
        <v>73</v>
      </c>
      <c r="B69" s="16" t="s">
        <v>178</v>
      </c>
      <c r="C69" s="16" t="s">
        <v>177</v>
      </c>
      <c r="D69" s="16" t="s">
        <v>112</v>
      </c>
      <c r="E69" s="16" t="s">
        <v>101</v>
      </c>
      <c r="F69" s="16" t="s">
        <v>101</v>
      </c>
      <c r="G69" s="16" t="s">
        <v>112</v>
      </c>
      <c r="H69" s="16" t="s">
        <v>114</v>
      </c>
      <c r="I69" s="16" t="s">
        <v>114</v>
      </c>
      <c r="J69" s="16" t="s">
        <v>101</v>
      </c>
      <c r="K69" s="16" t="s">
        <v>101</v>
      </c>
      <c r="L69" s="16" t="s">
        <v>101</v>
      </c>
      <c r="M69" s="16" t="s">
        <v>114</v>
      </c>
      <c r="N69" s="16" t="s">
        <v>114</v>
      </c>
      <c r="O69" s="16" t="s">
        <v>101</v>
      </c>
      <c r="P69" s="16" t="s">
        <v>101</v>
      </c>
      <c r="Q69" s="16" t="s">
        <v>114</v>
      </c>
      <c r="R69" s="16" t="s">
        <v>101</v>
      </c>
      <c r="S69" s="16" t="s">
        <v>114</v>
      </c>
    </row>
    <row r="70" spans="1:23" x14ac:dyDescent="0.25">
      <c r="A70" s="16" t="s">
        <v>74</v>
      </c>
      <c r="B70" s="16" t="s">
        <v>179</v>
      </c>
      <c r="C70" s="16" t="s">
        <v>177</v>
      </c>
      <c r="D70" s="16" t="s">
        <v>101</v>
      </c>
      <c r="E70" s="16" t="s">
        <v>110</v>
      </c>
      <c r="F70" s="16" t="s">
        <v>110</v>
      </c>
      <c r="G70" s="16" t="s">
        <v>101</v>
      </c>
      <c r="H70" s="16" t="s">
        <v>101</v>
      </c>
      <c r="I70" s="16" t="s">
        <v>101</v>
      </c>
      <c r="J70" s="16" t="s">
        <v>102</v>
      </c>
      <c r="K70" s="16" t="s">
        <v>102</v>
      </c>
      <c r="L70" s="16" t="s">
        <v>102</v>
      </c>
      <c r="M70" s="16" t="s">
        <v>101</v>
      </c>
      <c r="N70" s="16" t="s">
        <v>101</v>
      </c>
      <c r="O70" s="16" t="s">
        <v>102</v>
      </c>
      <c r="P70" s="16" t="s">
        <v>102</v>
      </c>
      <c r="Q70" s="16" t="s">
        <v>101</v>
      </c>
      <c r="R70" s="16" t="s">
        <v>102</v>
      </c>
      <c r="S70" s="16" t="s">
        <v>101</v>
      </c>
    </row>
    <row r="71" spans="1:23" x14ac:dyDescent="0.25">
      <c r="A71" s="1" t="s">
        <v>75</v>
      </c>
      <c r="B71" s="1" t="s">
        <v>180</v>
      </c>
      <c r="C71" s="1" t="s">
        <v>177</v>
      </c>
      <c r="D71" s="1" t="s">
        <v>101</v>
      </c>
      <c r="E71" s="1" t="s">
        <v>112</v>
      </c>
      <c r="F71" s="1" t="s">
        <v>112</v>
      </c>
      <c r="G71" s="1" t="s">
        <v>101</v>
      </c>
      <c r="H71" s="1" t="s">
        <v>101</v>
      </c>
      <c r="I71" s="1" t="s">
        <v>101</v>
      </c>
      <c r="J71" s="1" t="s">
        <v>114</v>
      </c>
      <c r="K71" s="1" t="s">
        <v>114</v>
      </c>
      <c r="L71" s="1" t="s">
        <v>114</v>
      </c>
      <c r="M71" s="1" t="s">
        <v>101</v>
      </c>
      <c r="N71" s="1" t="s">
        <v>101</v>
      </c>
      <c r="O71" s="1" t="s">
        <v>114</v>
      </c>
      <c r="P71" s="1" t="s">
        <v>114</v>
      </c>
      <c r="Q71" s="1" t="s">
        <v>101</v>
      </c>
      <c r="R71" s="1" t="s">
        <v>114</v>
      </c>
      <c r="S71" s="1" t="s">
        <v>101</v>
      </c>
      <c r="T71" t="str" cm="1">
        <f t="array" ref="T71">"3'b"&amp; _xlfn.XLOOKUP(--TRIM(D$3),--Mapping!$D$2:$D$5,Mapping!$E$2:$E$5) &amp;  ": return " &amp; "{" &amp; _xlfn.TEXTJOIN(", ", TRUE, _xlfn.XLOOKUP(--TRIM(D71:G71), --Mapping!$A$2:$A$6, Mapping!$B$2:$B$6)) &amp; "}" &amp; "; //  " &amp; D71 &amp; ",  "  &amp; E71 &amp; ",  "  &amp; F71 &amp; ",  "  &amp; G71</f>
        <v>3'b000: return {3'b010, 3'b110, 3'b110, 3'b010}; //  +2,  -2,  -2,  +2</v>
      </c>
      <c r="U71" t="str" cm="1">
        <f t="array" ref="U71">"3'b"&amp; _xlfn.XLOOKUP(--TRIM(H$3),--Mapping!$D$2:$D$5,Mapping!$E$2:$E$5) &amp;  ": return " &amp; "{" &amp; _xlfn.TEXTJOIN(", ", TRUE, _xlfn.XLOOKUP(--TRIM(H71:K71), --Mapping!$A$2:$A$6, Mapping!$B$2:$B$6)) &amp; "}" &amp; "; //  " &amp; H71 &amp; ",  "  &amp; I71 &amp; ",  "  &amp; J71 &amp; ",  "  &amp; K71</f>
        <v>3'b010: return {3'b010, 3'b010, 3'b111, 3'b111}; //  +2,  +2,  -1,  -1</v>
      </c>
      <c r="V71" t="str" cm="1">
        <f t="array" ref="V71">"3'b"&amp; _xlfn.XLOOKUP(--TRIM(L$3),--Mapping!$D$2:$D$5,Mapping!$E$2:$E$5) &amp;  ": return " &amp; "{" &amp; _xlfn.TEXTJOIN(", ", TRUE, _xlfn.XLOOKUP(--TRIM(L71:O71), --Mapping!$A$2:$A$6, Mapping!$B$2:$B$6)) &amp; "}" &amp; "; //  " &amp; L71 &amp; ",  "  &amp; M71 &amp; ",  "  &amp; N71 &amp; ",  "  &amp; O71</f>
        <v>3'b001: return {3'b111, 3'b010, 3'b010, 3'b111}; //  -1,  +2,  +2,  -1</v>
      </c>
      <c r="W71" t="str" cm="1">
        <f t="array" ref="W71">"3'b"&amp; _xlfn.XLOOKUP(--TRIM(P$3),--Mapping!$D$2:$D$5,Mapping!$E$2:$E$5) &amp;  ": return " &amp; "{" &amp; _xlfn.TEXTJOIN(", ", TRUE, _xlfn.XLOOKUP(--TRIM(P71:S71), --Mapping!$A$2:$A$6, Mapping!$B$2:$B$6)) &amp; "}" &amp; "; //  " &amp; P71 &amp; ",  "  &amp; Q71 &amp; ",  "  &amp; R71 &amp; ",  "  &amp; S71</f>
        <v>3'b011: return {3'b111, 3'b010, 3'b111, 3'b010}; //  -1,  +2,  -1,  +2</v>
      </c>
    </row>
    <row r="72" spans="1:23" x14ac:dyDescent="0.25">
      <c r="A72" s="16" t="s">
        <v>76</v>
      </c>
      <c r="B72" s="16" t="s">
        <v>181</v>
      </c>
      <c r="C72" s="16" t="s">
        <v>177</v>
      </c>
      <c r="D72" s="16" t="s">
        <v>101</v>
      </c>
      <c r="E72" s="16" t="s">
        <v>101</v>
      </c>
      <c r="F72" s="16" t="s">
        <v>101</v>
      </c>
      <c r="G72" s="16" t="s">
        <v>101</v>
      </c>
      <c r="H72" s="16" t="s">
        <v>182</v>
      </c>
      <c r="I72" s="16" t="s">
        <v>182</v>
      </c>
      <c r="J72" s="16" t="s">
        <v>182</v>
      </c>
      <c r="K72" s="16"/>
      <c r="L72" s="16"/>
      <c r="M72" s="16"/>
      <c r="N72" s="16"/>
      <c r="O72" s="16"/>
      <c r="P72" s="16"/>
      <c r="Q72" s="16"/>
      <c r="R72" s="16"/>
      <c r="S72" s="16"/>
    </row>
    <row r="73" spans="1:23" x14ac:dyDescent="0.25">
      <c r="A73" s="16" t="s">
        <v>77</v>
      </c>
      <c r="B73" s="16" t="s">
        <v>183</v>
      </c>
      <c r="C73" s="16" t="s">
        <v>177</v>
      </c>
      <c r="D73" s="16" t="s">
        <v>101</v>
      </c>
      <c r="E73" s="16" t="s">
        <v>101</v>
      </c>
      <c r="F73" s="16" t="s">
        <v>101</v>
      </c>
      <c r="G73" s="16" t="s">
        <v>112</v>
      </c>
      <c r="H73" s="16" t="s">
        <v>182</v>
      </c>
      <c r="I73" s="16" t="s">
        <v>182</v>
      </c>
      <c r="J73" s="16" t="s">
        <v>182</v>
      </c>
      <c r="K73" s="16"/>
      <c r="L73" s="16"/>
      <c r="M73" s="16"/>
      <c r="N73" s="16"/>
      <c r="O73" s="16"/>
      <c r="P73" s="16"/>
      <c r="Q73" s="16"/>
      <c r="R73" s="16"/>
      <c r="S73" s="16"/>
    </row>
    <row r="74" spans="1:23" x14ac:dyDescent="0.25">
      <c r="A74" s="16" t="s">
        <v>78</v>
      </c>
      <c r="B74" s="16" t="s">
        <v>184</v>
      </c>
      <c r="C74" s="16" t="s">
        <v>177</v>
      </c>
      <c r="D74" s="16" t="s">
        <v>101</v>
      </c>
      <c r="E74" s="16" t="s">
        <v>101</v>
      </c>
      <c r="F74" s="16" t="s">
        <v>101</v>
      </c>
      <c r="G74" s="16" t="s">
        <v>101</v>
      </c>
      <c r="H74" s="16" t="s">
        <v>182</v>
      </c>
      <c r="I74" s="16" t="s">
        <v>182</v>
      </c>
      <c r="J74" s="16" t="s">
        <v>182</v>
      </c>
      <c r="K74" s="16"/>
      <c r="L74" s="16"/>
      <c r="M74" s="16"/>
      <c r="N74" s="16"/>
      <c r="O74" s="16"/>
      <c r="P74" s="16"/>
      <c r="Q74" s="16"/>
      <c r="R74" s="16"/>
      <c r="S74" s="16"/>
    </row>
    <row r="75" spans="1:23" x14ac:dyDescent="0.25">
      <c r="A75" s="16" t="s">
        <v>79</v>
      </c>
      <c r="B75" s="16" t="s">
        <v>185</v>
      </c>
      <c r="C75" s="16" t="s">
        <v>177</v>
      </c>
      <c r="D75" s="16" t="s">
        <v>101</v>
      </c>
      <c r="E75" s="16" t="s">
        <v>101</v>
      </c>
      <c r="F75" s="16" t="s">
        <v>101</v>
      </c>
      <c r="G75" s="16" t="s">
        <v>112</v>
      </c>
      <c r="H75" s="16" t="s">
        <v>182</v>
      </c>
      <c r="I75" s="16" t="s">
        <v>182</v>
      </c>
      <c r="J75" s="16" t="s">
        <v>182</v>
      </c>
      <c r="K75" s="16"/>
      <c r="L75" s="16"/>
      <c r="M75" s="16"/>
      <c r="N75" s="16"/>
      <c r="O75" s="16"/>
      <c r="P75" s="16"/>
      <c r="Q75" s="16"/>
      <c r="R75" s="16"/>
      <c r="S75" s="16"/>
    </row>
    <row r="76" spans="1:23" x14ac:dyDescent="0.25">
      <c r="A76" s="16" t="s">
        <v>80</v>
      </c>
      <c r="B76" s="16" t="s">
        <v>186</v>
      </c>
      <c r="C76" s="16" t="s">
        <v>177</v>
      </c>
      <c r="D76" s="16" t="s">
        <v>101</v>
      </c>
      <c r="E76" s="16" t="s">
        <v>101</v>
      </c>
      <c r="F76" s="16" t="s">
        <v>112</v>
      </c>
      <c r="G76" s="16" t="s">
        <v>101</v>
      </c>
      <c r="H76" s="16" t="s">
        <v>182</v>
      </c>
      <c r="I76" s="16" t="s">
        <v>182</v>
      </c>
      <c r="J76" s="16" t="s">
        <v>182</v>
      </c>
      <c r="K76" s="16"/>
      <c r="L76" s="16"/>
      <c r="M76" s="16"/>
      <c r="N76" s="16"/>
      <c r="O76" s="16"/>
      <c r="P76" s="16"/>
      <c r="Q76" s="16"/>
      <c r="R76" s="16"/>
      <c r="S76" s="16"/>
    </row>
    <row r="77" spans="1:23" x14ac:dyDescent="0.25">
      <c r="A77" s="16" t="s">
        <v>81</v>
      </c>
      <c r="B77" s="16" t="s">
        <v>187</v>
      </c>
      <c r="C77" s="16" t="s">
        <v>177</v>
      </c>
      <c r="D77" s="16" t="s">
        <v>101</v>
      </c>
      <c r="E77" s="16" t="s">
        <v>112</v>
      </c>
      <c r="F77" s="16" t="s">
        <v>101</v>
      </c>
      <c r="G77" s="16" t="s">
        <v>101</v>
      </c>
      <c r="H77" s="16" t="s">
        <v>182</v>
      </c>
      <c r="I77" s="16" t="s">
        <v>182</v>
      </c>
      <c r="J77" s="16" t="s">
        <v>182</v>
      </c>
      <c r="K77" s="16"/>
      <c r="L77" s="16"/>
      <c r="M77" s="16"/>
      <c r="N77" s="16"/>
      <c r="O77" s="16"/>
      <c r="P77" s="16"/>
      <c r="Q77" s="16"/>
      <c r="R77" s="16"/>
      <c r="S77" s="16"/>
    </row>
    <row r="78" spans="1:23" x14ac:dyDescent="0.25">
      <c r="A78" s="16" t="s">
        <v>82</v>
      </c>
      <c r="B78" s="16" t="s">
        <v>188</v>
      </c>
      <c r="C78" s="16" t="s">
        <v>177</v>
      </c>
      <c r="D78" s="16" t="s">
        <v>112</v>
      </c>
      <c r="E78" s="16" t="s">
        <v>101</v>
      </c>
      <c r="F78" s="16" t="s">
        <v>101</v>
      </c>
      <c r="G78" s="16" t="s">
        <v>101</v>
      </c>
      <c r="H78" s="16" t="s">
        <v>182</v>
      </c>
      <c r="I78" s="16" t="s">
        <v>182</v>
      </c>
      <c r="J78" s="16" t="s">
        <v>182</v>
      </c>
      <c r="K78" s="16"/>
      <c r="L78" s="16"/>
      <c r="M78" s="16"/>
      <c r="N78" s="16"/>
      <c r="O78" s="16"/>
      <c r="P78" s="16"/>
      <c r="Q78" s="16"/>
      <c r="R78" s="16"/>
      <c r="S78" s="16"/>
    </row>
    <row r="79" spans="1:23" x14ac:dyDescent="0.25">
      <c r="A79" s="1" t="s">
        <v>83</v>
      </c>
      <c r="B79" s="1" t="s">
        <v>189</v>
      </c>
      <c r="C79" s="1" t="s">
        <v>109</v>
      </c>
      <c r="D79" s="1" t="s">
        <v>110</v>
      </c>
      <c r="E79" s="1" t="s">
        <v>110</v>
      </c>
      <c r="F79" s="1" t="s">
        <v>110</v>
      </c>
      <c r="G79" s="1" t="s">
        <v>110</v>
      </c>
      <c r="H79" s="1" t="s">
        <v>182</v>
      </c>
      <c r="I79" s="1" t="s">
        <v>182</v>
      </c>
      <c r="J79" s="1" t="s">
        <v>182</v>
      </c>
      <c r="K79" s="1"/>
      <c r="L79" s="1"/>
      <c r="M79" s="1"/>
      <c r="N79" s="1"/>
      <c r="O79" s="1"/>
      <c r="P79" s="1"/>
      <c r="Q79" s="1"/>
      <c r="R79" s="1"/>
      <c r="S79" s="1"/>
      <c r="T79" t="str" cm="1">
        <f t="array" ref="T79">"6'b" &amp; $C79 &amp; ": return " &amp; "{" &amp; _xlfn.TEXTJOIN(", ", TRUE, _xlfn.XLOOKUP(--TRIM(D79:G79), --Mapping!$A$2:$A$6, Mapping!$B$2:$B$6)) &amp; "}" &amp; "; //  " &amp; D79 &amp; ",  "  &amp; E79 &amp; ",  "  &amp; F79 &amp; ",  "  &amp; G79</f>
        <v>6'b000000: return {3'b000, 3'b000, 3'b000, 3'b000}; //  0,  0,  0,  0</v>
      </c>
    </row>
    <row r="80" spans="1:23" x14ac:dyDescent="0.25">
      <c r="A80" s="1" t="s">
        <v>84</v>
      </c>
      <c r="B80" s="1" t="s">
        <v>189</v>
      </c>
      <c r="C80" s="1" t="s">
        <v>111</v>
      </c>
      <c r="D80" s="1" t="s">
        <v>112</v>
      </c>
      <c r="E80" s="1" t="s">
        <v>110</v>
      </c>
      <c r="F80" s="1" t="s">
        <v>110</v>
      </c>
      <c r="G80" s="1" t="s">
        <v>110</v>
      </c>
      <c r="H80" s="1" t="s">
        <v>182</v>
      </c>
      <c r="I80" s="1" t="s">
        <v>182</v>
      </c>
      <c r="J80" s="1" t="s">
        <v>182</v>
      </c>
      <c r="K80" s="1"/>
      <c r="L80" s="1"/>
      <c r="M80" s="1"/>
      <c r="N80" s="1"/>
      <c r="O80" s="1"/>
      <c r="P80" s="1"/>
      <c r="Q80" s="1"/>
      <c r="R80" s="1"/>
      <c r="S80" s="1"/>
      <c r="T80" t="str" cm="1">
        <f t="array" ref="T80">"6'b" &amp; $C80 &amp; ": return " &amp; "{" &amp; _xlfn.TEXTJOIN(", ", TRUE, _xlfn.XLOOKUP(--TRIM(D80:G80), --Mapping!$A$2:$A$6, Mapping!$B$2:$B$6)) &amp; "}" &amp; "; //  " &amp; D80 &amp; ",  "  &amp; E80 &amp; ",  "  &amp; F80 &amp; ",  "  &amp; G80</f>
        <v>6'b000001: return {3'b110, 3'b000, 3'b000, 3'b000}; //  -2,  0,  0,  0</v>
      </c>
    </row>
    <row r="81" spans="1:20" x14ac:dyDescent="0.25">
      <c r="A81" s="1" t="s">
        <v>85</v>
      </c>
      <c r="B81" s="1" t="s">
        <v>189</v>
      </c>
      <c r="C81" s="1" t="s">
        <v>113</v>
      </c>
      <c r="D81" s="1" t="s">
        <v>110</v>
      </c>
      <c r="E81" s="1" t="s">
        <v>112</v>
      </c>
      <c r="F81" s="1" t="s">
        <v>110</v>
      </c>
      <c r="G81" s="1" t="s">
        <v>110</v>
      </c>
      <c r="H81" s="1" t="s">
        <v>182</v>
      </c>
      <c r="I81" s="1" t="s">
        <v>182</v>
      </c>
      <c r="J81" s="1" t="s">
        <v>182</v>
      </c>
      <c r="K81" s="1"/>
      <c r="L81" s="1"/>
      <c r="M81" s="1"/>
      <c r="N81" s="1"/>
      <c r="O81" s="1"/>
      <c r="P81" s="1"/>
      <c r="Q81" s="1"/>
      <c r="R81" s="1"/>
      <c r="S81" s="1"/>
      <c r="T81" t="str" cm="1">
        <f t="array" ref="T81">"6'b" &amp; $C81 &amp; ": return " &amp; "{" &amp; _xlfn.TEXTJOIN(", ", TRUE, _xlfn.XLOOKUP(--TRIM(D81:G81), --Mapping!$A$2:$A$6, Mapping!$B$2:$B$6)) &amp; "}" &amp; "; //  " &amp; D81 &amp; ",  "  &amp; E81 &amp; ",  "  &amp; F81 &amp; ",  "  &amp; G81</f>
        <v>6'b000010: return {3'b000, 3'b110, 3'b000, 3'b000}; //  0,  -2,  0,  0</v>
      </c>
    </row>
    <row r="82" spans="1:20" x14ac:dyDescent="0.25">
      <c r="A82" s="1" t="s">
        <v>86</v>
      </c>
      <c r="B82" s="1" t="s">
        <v>189</v>
      </c>
      <c r="C82" s="1" t="s">
        <v>115</v>
      </c>
      <c r="D82" s="1" t="s">
        <v>112</v>
      </c>
      <c r="E82" s="1" t="s">
        <v>112</v>
      </c>
      <c r="F82" s="1" t="s">
        <v>110</v>
      </c>
      <c r="G82" s="1" t="s">
        <v>110</v>
      </c>
      <c r="H82" s="1" t="s">
        <v>182</v>
      </c>
      <c r="I82" s="1" t="s">
        <v>182</v>
      </c>
      <c r="J82" s="1" t="s">
        <v>182</v>
      </c>
      <c r="K82" s="1"/>
      <c r="L82" s="1"/>
      <c r="M82" s="1"/>
      <c r="N82" s="1"/>
      <c r="O82" s="1"/>
      <c r="P82" s="1"/>
      <c r="Q82" s="1"/>
      <c r="R82" s="1"/>
      <c r="S82" s="1"/>
      <c r="T82" t="str" cm="1">
        <f t="array" ref="T82">"6'b" &amp; $C82 &amp; ": return " &amp; "{" &amp; _xlfn.TEXTJOIN(", ", TRUE, _xlfn.XLOOKUP(--TRIM(D82:G82), --Mapping!$A$2:$A$6, Mapping!$B$2:$B$6)) &amp; "}" &amp; "; //  " &amp; D82 &amp; ",  "  &amp; E82 &amp; ",  "  &amp; F82 &amp; ",  "  &amp; G82</f>
        <v>6'b000011: return {3'b110, 3'b110, 3'b000, 3'b000}; //  -2,  -2,  0,  0</v>
      </c>
    </row>
    <row r="83" spans="1:20" x14ac:dyDescent="0.25">
      <c r="A83" s="1" t="s">
        <v>87</v>
      </c>
      <c r="B83" s="1" t="s">
        <v>189</v>
      </c>
      <c r="C83" s="1" t="s">
        <v>116</v>
      </c>
      <c r="D83" s="1" t="s">
        <v>110</v>
      </c>
      <c r="E83" s="1" t="s">
        <v>110</v>
      </c>
      <c r="F83" s="1" t="s">
        <v>112</v>
      </c>
      <c r="G83" s="1" t="s">
        <v>110</v>
      </c>
      <c r="H83" s="1" t="s">
        <v>182</v>
      </c>
      <c r="I83" s="1" t="s">
        <v>182</v>
      </c>
      <c r="J83" s="1" t="s">
        <v>182</v>
      </c>
      <c r="K83" s="1"/>
      <c r="L83" s="1"/>
      <c r="M83" s="1"/>
      <c r="N83" s="1"/>
      <c r="O83" s="1"/>
      <c r="P83" s="1"/>
      <c r="Q83" s="1"/>
      <c r="R83" s="1"/>
      <c r="S83" s="1"/>
      <c r="T83" t="str" cm="1">
        <f t="array" ref="T83">"6'b" &amp; $C83 &amp; ": return " &amp; "{" &amp; _xlfn.TEXTJOIN(", ", TRUE, _xlfn.XLOOKUP(--TRIM(D83:G83), --Mapping!$A$2:$A$6, Mapping!$B$2:$B$6)) &amp; "}" &amp; "; //  " &amp; D83 &amp; ",  "  &amp; E83 &amp; ",  "  &amp; F83 &amp; ",  "  &amp; G83</f>
        <v>6'b000100: return {3'b000, 3'b000, 3'b110, 3'b000}; //  0,  0,  -2,  0</v>
      </c>
    </row>
    <row r="84" spans="1:20" x14ac:dyDescent="0.25">
      <c r="A84" s="1" t="s">
        <v>88</v>
      </c>
      <c r="B84" s="1" t="s">
        <v>189</v>
      </c>
      <c r="C84" s="1" t="s">
        <v>117</v>
      </c>
      <c r="D84" s="1" t="s">
        <v>112</v>
      </c>
      <c r="E84" s="1" t="s">
        <v>110</v>
      </c>
      <c r="F84" s="1" t="s">
        <v>112</v>
      </c>
      <c r="G84" s="1" t="s">
        <v>110</v>
      </c>
      <c r="H84" s="1" t="s">
        <v>182</v>
      </c>
      <c r="I84" s="1" t="s">
        <v>182</v>
      </c>
      <c r="J84" s="1" t="s">
        <v>182</v>
      </c>
      <c r="K84" s="1"/>
      <c r="L84" s="1"/>
      <c r="M84" s="1"/>
      <c r="N84" s="1"/>
      <c r="O84" s="1"/>
      <c r="P84" s="1"/>
      <c r="Q84" s="1"/>
      <c r="R84" s="1"/>
      <c r="S84" s="1"/>
      <c r="T84" t="str" cm="1">
        <f t="array" ref="T84">"6'b" &amp; $C84 &amp; ": return " &amp; "{" &amp; _xlfn.TEXTJOIN(", ", TRUE, _xlfn.XLOOKUP(--TRIM(D84:G84), --Mapping!$A$2:$A$6, Mapping!$B$2:$B$6)) &amp; "}" &amp; "; //  " &amp; D84 &amp; ",  "  &amp; E84 &amp; ",  "  &amp; F84 &amp; ",  "  &amp; G84</f>
        <v>6'b000101: return {3'b110, 3'b000, 3'b110, 3'b000}; //  -2,  0,  -2,  0</v>
      </c>
    </row>
    <row r="85" spans="1:20" x14ac:dyDescent="0.25">
      <c r="A85" s="1" t="s">
        <v>89</v>
      </c>
      <c r="B85" s="1" t="s">
        <v>189</v>
      </c>
      <c r="C85" s="1" t="s">
        <v>118</v>
      </c>
      <c r="D85" s="1" t="s">
        <v>110</v>
      </c>
      <c r="E85" s="1" t="s">
        <v>112</v>
      </c>
      <c r="F85" s="1" t="s">
        <v>112</v>
      </c>
      <c r="G85" s="1" t="s">
        <v>110</v>
      </c>
      <c r="H85" s="1" t="s">
        <v>182</v>
      </c>
      <c r="I85" s="1" t="s">
        <v>182</v>
      </c>
      <c r="J85" s="1" t="s">
        <v>182</v>
      </c>
      <c r="K85" s="1"/>
      <c r="L85" s="1"/>
      <c r="M85" s="1"/>
      <c r="N85" s="1"/>
      <c r="O85" s="1"/>
      <c r="P85" s="1"/>
      <c r="Q85" s="1"/>
      <c r="R85" s="1"/>
      <c r="S85" s="1"/>
      <c r="T85" t="str" cm="1">
        <f t="array" ref="T85">"6'b" &amp; $C85 &amp; ": return " &amp; "{" &amp; _xlfn.TEXTJOIN(", ", TRUE, _xlfn.XLOOKUP(--TRIM(D85:G85), --Mapping!$A$2:$A$6, Mapping!$B$2:$B$6)) &amp; "}" &amp; "; //  " &amp; D85 &amp; ",  "  &amp; E85 &amp; ",  "  &amp; F85 &amp; ",  "  &amp; G85</f>
        <v>6'b000110: return {3'b000, 3'b110, 3'b110, 3'b000}; //  0,  -2,  -2,  0</v>
      </c>
    </row>
    <row r="86" spans="1:20" x14ac:dyDescent="0.25">
      <c r="A86" s="1" t="s">
        <v>90</v>
      </c>
      <c r="B86" s="1" t="s">
        <v>189</v>
      </c>
      <c r="C86" s="1" t="s">
        <v>119</v>
      </c>
      <c r="D86" s="1" t="s">
        <v>112</v>
      </c>
      <c r="E86" s="1" t="s">
        <v>112</v>
      </c>
      <c r="F86" s="1" t="s">
        <v>112</v>
      </c>
      <c r="G86" s="1" t="s">
        <v>110</v>
      </c>
      <c r="H86" s="1" t="s">
        <v>182</v>
      </c>
      <c r="I86" s="1" t="s">
        <v>182</v>
      </c>
      <c r="J86" s="1" t="s">
        <v>182</v>
      </c>
      <c r="K86" s="1"/>
      <c r="L86" s="1"/>
      <c r="M86" s="1"/>
      <c r="N86" s="1"/>
      <c r="O86" s="1"/>
      <c r="P86" s="1"/>
      <c r="Q86" s="1"/>
      <c r="R86" s="1"/>
      <c r="S86" s="1"/>
      <c r="T86" t="str" cm="1">
        <f t="array" ref="T86">"6'b" &amp; $C86 &amp; ": return " &amp; "{" &amp; _xlfn.TEXTJOIN(", ", TRUE, _xlfn.XLOOKUP(--TRIM(D86:G86), --Mapping!$A$2:$A$6, Mapping!$B$2:$B$6)) &amp; "}" &amp; "; //  " &amp; D86 &amp; ",  "  &amp; E86 &amp; ",  "  &amp; F86 &amp; ",  "  &amp; G86</f>
        <v>6'b000111: return {3'b110, 3'b110, 3'b110, 3'b000}; //  -2,  -2,  -2,  0</v>
      </c>
    </row>
    <row r="87" spans="1:20" x14ac:dyDescent="0.25">
      <c r="A87" s="1" t="s">
        <v>91</v>
      </c>
      <c r="B87" s="1" t="s">
        <v>189</v>
      </c>
      <c r="C87" s="1" t="s">
        <v>120</v>
      </c>
      <c r="D87" s="1" t="s">
        <v>110</v>
      </c>
      <c r="E87" s="1" t="s">
        <v>110</v>
      </c>
      <c r="F87" s="1" t="s">
        <v>110</v>
      </c>
      <c r="G87" s="1" t="s">
        <v>112</v>
      </c>
      <c r="H87" s="1" t="s">
        <v>182</v>
      </c>
      <c r="I87" s="1" t="s">
        <v>182</v>
      </c>
      <c r="J87" s="1" t="s">
        <v>182</v>
      </c>
      <c r="K87" s="1"/>
      <c r="L87" s="1"/>
      <c r="M87" s="1"/>
      <c r="N87" s="1"/>
      <c r="O87" s="1"/>
      <c r="P87" s="1"/>
      <c r="Q87" s="1"/>
      <c r="R87" s="1"/>
      <c r="S87" s="1"/>
      <c r="T87" t="str" cm="1">
        <f t="array" ref="T87">"6'b" &amp; $C87 &amp; ": return " &amp; "{" &amp; _xlfn.TEXTJOIN(", ", TRUE, _xlfn.XLOOKUP(--TRIM(D87:G87), --Mapping!$A$2:$A$6, Mapping!$B$2:$B$6)) &amp; "}" &amp; "; //  " &amp; D87 &amp; ",  "  &amp; E87 &amp; ",  "  &amp; F87 &amp; ",  "  &amp; G87</f>
        <v>6'b001000: return {3'b000, 3'b000, 3'b000, 3'b110}; //  0,  0,  0,  -2</v>
      </c>
    </row>
    <row r="88" spans="1:20" x14ac:dyDescent="0.25">
      <c r="A88" s="1" t="s">
        <v>92</v>
      </c>
      <c r="B88" s="1" t="s">
        <v>189</v>
      </c>
      <c r="C88" s="1" t="s">
        <v>121</v>
      </c>
      <c r="D88" s="1" t="s">
        <v>112</v>
      </c>
      <c r="E88" s="1" t="s">
        <v>110</v>
      </c>
      <c r="F88" s="1" t="s">
        <v>110</v>
      </c>
      <c r="G88" s="1" t="s">
        <v>112</v>
      </c>
      <c r="H88" s="1" t="s">
        <v>182</v>
      </c>
      <c r="I88" s="1" t="s">
        <v>182</v>
      </c>
      <c r="J88" s="1" t="s">
        <v>182</v>
      </c>
      <c r="K88" s="1"/>
      <c r="L88" s="1"/>
      <c r="M88" s="1"/>
      <c r="N88" s="1"/>
      <c r="O88" s="1"/>
      <c r="P88" s="1"/>
      <c r="Q88" s="1"/>
      <c r="R88" s="1"/>
      <c r="S88" s="1"/>
      <c r="T88" t="str" cm="1">
        <f t="array" ref="T88">"6'b" &amp; $C88 &amp; ": return " &amp; "{" &amp; _xlfn.TEXTJOIN(", ", TRUE, _xlfn.XLOOKUP(--TRIM(D88:G88), --Mapping!$A$2:$A$6, Mapping!$B$2:$B$6)) &amp; "}" &amp; "; //  " &amp; D88 &amp; ",  "  &amp; E88 &amp; ",  "  &amp; F88 &amp; ",  "  &amp; G88</f>
        <v>6'b001001: return {3'b110, 3'b000, 3'b000, 3'b110}; //  -2,  0,  0,  -2</v>
      </c>
    </row>
    <row r="89" spans="1:20" x14ac:dyDescent="0.25">
      <c r="A89" s="1" t="s">
        <v>93</v>
      </c>
      <c r="B89" s="1" t="s">
        <v>189</v>
      </c>
      <c r="C89" s="1" t="s">
        <v>122</v>
      </c>
      <c r="D89" s="1" t="s">
        <v>110</v>
      </c>
      <c r="E89" s="1" t="s">
        <v>112</v>
      </c>
      <c r="F89" s="1" t="s">
        <v>110</v>
      </c>
      <c r="G89" s="1" t="s">
        <v>112</v>
      </c>
      <c r="H89" s="1" t="s">
        <v>182</v>
      </c>
      <c r="I89" s="1" t="s">
        <v>182</v>
      </c>
      <c r="J89" s="1" t="s">
        <v>182</v>
      </c>
      <c r="K89" s="1"/>
      <c r="L89" s="1"/>
      <c r="M89" s="1"/>
      <c r="N89" s="1"/>
      <c r="O89" s="1"/>
      <c r="P89" s="1"/>
      <c r="Q89" s="1"/>
      <c r="R89" s="1"/>
      <c r="S89" s="1"/>
      <c r="T89" t="str" cm="1">
        <f t="array" ref="T89">"6'b" &amp; $C89 &amp; ": return " &amp; "{" &amp; _xlfn.TEXTJOIN(", ", TRUE, _xlfn.XLOOKUP(--TRIM(D89:G89), --Mapping!$A$2:$A$6, Mapping!$B$2:$B$6)) &amp; "}" &amp; "; //  " &amp; D89 &amp; ",  "  &amp; E89 &amp; ",  "  &amp; F89 &amp; ",  "  &amp; G89</f>
        <v>6'b001010: return {3'b000, 3'b110, 3'b000, 3'b110}; //  0,  -2,  0,  -2</v>
      </c>
    </row>
    <row r="90" spans="1:20" x14ac:dyDescent="0.25">
      <c r="A90" s="1" t="s">
        <v>94</v>
      </c>
      <c r="B90" s="1" t="s">
        <v>189</v>
      </c>
      <c r="C90" s="1" t="s">
        <v>123</v>
      </c>
      <c r="D90" s="1" t="s">
        <v>112</v>
      </c>
      <c r="E90" s="1" t="s">
        <v>112</v>
      </c>
      <c r="F90" s="1" t="s">
        <v>110</v>
      </c>
      <c r="G90" s="1" t="s">
        <v>112</v>
      </c>
      <c r="H90" s="1" t="s">
        <v>182</v>
      </c>
      <c r="I90" s="1" t="s">
        <v>182</v>
      </c>
      <c r="J90" s="1" t="s">
        <v>182</v>
      </c>
      <c r="K90" s="1"/>
      <c r="L90" s="1"/>
      <c r="M90" s="1"/>
      <c r="N90" s="1"/>
      <c r="O90" s="1"/>
      <c r="P90" s="1"/>
      <c r="Q90" s="1"/>
      <c r="R90" s="1"/>
      <c r="S90" s="1"/>
      <c r="T90" t="str" cm="1">
        <f t="array" ref="T90">"6'b" &amp; $C90 &amp; ": return " &amp; "{" &amp; _xlfn.TEXTJOIN(", ", TRUE, _xlfn.XLOOKUP(--TRIM(D90:G90), --Mapping!$A$2:$A$6, Mapping!$B$2:$B$6)) &amp; "}" &amp; "; //  " &amp; D90 &amp; ",  "  &amp; E90 &amp; ",  "  &amp; F90 &amp; ",  "  &amp; G90</f>
        <v>6'b001011: return {3'b110, 3'b110, 3'b000, 3'b110}; //  -2,  -2,  0,  -2</v>
      </c>
    </row>
    <row r="91" spans="1:20" x14ac:dyDescent="0.25">
      <c r="A91" s="1" t="s">
        <v>95</v>
      </c>
      <c r="B91" s="1" t="s">
        <v>189</v>
      </c>
      <c r="C91" s="1" t="s">
        <v>124</v>
      </c>
      <c r="D91" s="1" t="s">
        <v>110</v>
      </c>
      <c r="E91" s="1" t="s">
        <v>110</v>
      </c>
      <c r="F91" s="1" t="s">
        <v>112</v>
      </c>
      <c r="G91" s="1" t="s">
        <v>112</v>
      </c>
      <c r="H91" s="1" t="s">
        <v>182</v>
      </c>
      <c r="I91" s="1" t="s">
        <v>182</v>
      </c>
      <c r="J91" s="1" t="s">
        <v>182</v>
      </c>
      <c r="K91" s="1"/>
      <c r="L91" s="1"/>
      <c r="M91" s="1"/>
      <c r="N91" s="1"/>
      <c r="O91" s="1"/>
      <c r="P91" s="1"/>
      <c r="Q91" s="1"/>
      <c r="R91" s="1"/>
      <c r="S91" s="1"/>
      <c r="T91" t="str" cm="1">
        <f t="array" ref="T91">"6'b" &amp; $C91 &amp; ": return " &amp; "{" &amp; _xlfn.TEXTJOIN(", ", TRUE, _xlfn.XLOOKUP(--TRIM(D91:G91), --Mapping!$A$2:$A$6, Mapping!$B$2:$B$6)) &amp; "}" &amp; "; //  " &amp; D91 &amp; ",  "  &amp; E91 &amp; ",  "  &amp; F91 &amp; ",  "  &amp; G91</f>
        <v>6'b001100: return {3'b000, 3'b000, 3'b110, 3'b110}; //  0,  0,  -2,  -2</v>
      </c>
    </row>
    <row r="92" spans="1:20" x14ac:dyDescent="0.25">
      <c r="A92" s="1" t="s">
        <v>96</v>
      </c>
      <c r="B92" s="1" t="s">
        <v>189</v>
      </c>
      <c r="C92" s="1" t="s">
        <v>125</v>
      </c>
      <c r="D92" s="1" t="s">
        <v>112</v>
      </c>
      <c r="E92" s="1" t="s">
        <v>110</v>
      </c>
      <c r="F92" s="1" t="s">
        <v>112</v>
      </c>
      <c r="G92" s="1" t="s">
        <v>112</v>
      </c>
      <c r="H92" s="1" t="s">
        <v>182</v>
      </c>
      <c r="I92" s="1" t="s">
        <v>182</v>
      </c>
      <c r="J92" s="1" t="s">
        <v>182</v>
      </c>
      <c r="K92" s="1"/>
      <c r="L92" s="1"/>
      <c r="M92" s="1"/>
      <c r="N92" s="1"/>
      <c r="O92" s="1"/>
      <c r="P92" s="1"/>
      <c r="Q92" s="1"/>
      <c r="R92" s="1"/>
      <c r="S92" s="1"/>
      <c r="T92" t="str" cm="1">
        <f t="array" ref="T92">"6'b" &amp; $C92 &amp; ": return " &amp; "{" &amp; _xlfn.TEXTJOIN(", ", TRUE, _xlfn.XLOOKUP(--TRIM(D92:G92), --Mapping!$A$2:$A$6, Mapping!$B$2:$B$6)) &amp; "}" &amp; "; //  " &amp; D92 &amp; ",  "  &amp; E92 &amp; ",  "  &amp; F92 &amp; ",  "  &amp; G92</f>
        <v>6'b001101: return {3'b110, 3'b000, 3'b110, 3'b110}; //  -2,  0,  -2,  -2</v>
      </c>
    </row>
    <row r="93" spans="1:20" x14ac:dyDescent="0.25">
      <c r="A93" s="1" t="s">
        <v>97</v>
      </c>
      <c r="B93" s="1" t="s">
        <v>189</v>
      </c>
      <c r="C93" s="1" t="s">
        <v>126</v>
      </c>
      <c r="D93" s="1" t="s">
        <v>110</v>
      </c>
      <c r="E93" s="1" t="s">
        <v>112</v>
      </c>
      <c r="F93" s="1" t="s">
        <v>112</v>
      </c>
      <c r="G93" s="1" t="s">
        <v>112</v>
      </c>
      <c r="H93" s="1" t="s">
        <v>182</v>
      </c>
      <c r="I93" s="1" t="s">
        <v>182</v>
      </c>
      <c r="J93" s="1" t="s">
        <v>182</v>
      </c>
      <c r="K93" s="1"/>
      <c r="L93" s="1"/>
      <c r="M93" s="1"/>
      <c r="N93" s="1"/>
      <c r="O93" s="1"/>
      <c r="P93" s="1"/>
      <c r="Q93" s="1"/>
      <c r="R93" s="1"/>
      <c r="S93" s="1"/>
      <c r="T93" t="str" cm="1">
        <f t="array" ref="T93">"6'b" &amp; $C93 &amp; ": return " &amp; "{" &amp; _xlfn.TEXTJOIN(", ", TRUE, _xlfn.XLOOKUP(--TRIM(D93:G93), --Mapping!$A$2:$A$6, Mapping!$B$2:$B$6)) &amp; "}" &amp; "; //  " &amp; D93 &amp; ",  "  &amp; E93 &amp; ",  "  &amp; F93 &amp; ",  "  &amp; G93</f>
        <v>6'b001110: return {3'b000, 3'b110, 3'b110, 3'b110}; //  0,  -2,  -2,  -2</v>
      </c>
    </row>
    <row r="94" spans="1:20" x14ac:dyDescent="0.25">
      <c r="A94" s="1" t="s">
        <v>98</v>
      </c>
      <c r="B94" s="1" t="s">
        <v>189</v>
      </c>
      <c r="C94" s="1" t="s">
        <v>127</v>
      </c>
      <c r="D94" s="1" t="s">
        <v>112</v>
      </c>
      <c r="E94" s="1" t="s">
        <v>112</v>
      </c>
      <c r="F94" s="1" t="s">
        <v>112</v>
      </c>
      <c r="G94" s="1" t="s">
        <v>112</v>
      </c>
      <c r="H94" s="1" t="s">
        <v>182</v>
      </c>
      <c r="I94" s="1" t="s">
        <v>182</v>
      </c>
      <c r="J94" s="1" t="s">
        <v>182</v>
      </c>
      <c r="K94" s="1"/>
      <c r="L94" s="1"/>
      <c r="M94" s="1"/>
      <c r="N94" s="1"/>
      <c r="O94" s="1"/>
      <c r="P94" s="1"/>
      <c r="Q94" s="1"/>
      <c r="R94" s="1"/>
      <c r="S94" s="1"/>
      <c r="T94" t="str" cm="1">
        <f t="array" ref="T94">"6'b" &amp; $C94 &amp; ": return " &amp; "{" &amp; _xlfn.TEXTJOIN(", ", TRUE, _xlfn.XLOOKUP(--TRIM(D94:G94), --Mapping!$A$2:$A$6, Mapping!$B$2:$B$6)) &amp; "}" &amp; "; //  " &amp; D94 &amp; ",  "  &amp; E94 &amp; ",  "  &amp; F94 &amp; ",  "  &amp; G94</f>
        <v>6'b001111: return {3'b110, 3'b110, 3'b110, 3'b110}; //  -2,  -2,  -2,  -2</v>
      </c>
    </row>
  </sheetData>
  <mergeCells count="6">
    <mergeCell ref="T2:W3"/>
    <mergeCell ref="D2:S2"/>
    <mergeCell ref="D3:G3"/>
    <mergeCell ref="H3:K3"/>
    <mergeCell ref="L3:O3"/>
    <mergeCell ref="P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042D-E90B-4C0C-9617-A4668ED6C925}">
  <dimension ref="A2:W71"/>
  <sheetViews>
    <sheetView tabSelected="1" topLeftCell="P40" zoomScaleNormal="100" workbookViewId="0">
      <selection activeCell="V54" sqref="V54"/>
    </sheetView>
  </sheetViews>
  <sheetFormatPr defaultRowHeight="15" x14ac:dyDescent="0.25"/>
  <cols>
    <col min="1" max="1" width="63" bestFit="1" customWidth="1"/>
    <col min="2" max="2" width="12.140625" bestFit="1" customWidth="1"/>
    <col min="3" max="3" width="8.42578125" bestFit="1" customWidth="1"/>
    <col min="4" max="19" width="3" bestFit="1" customWidth="1"/>
    <col min="20" max="22" width="64" bestFit="1" customWidth="1"/>
    <col min="23" max="23" width="60.85546875" bestFit="1" customWidth="1"/>
  </cols>
  <sheetData>
    <row r="2" spans="1:23" x14ac:dyDescent="0.25">
      <c r="A2" s="2"/>
      <c r="B2" s="2"/>
      <c r="C2" s="2"/>
      <c r="D2" s="13" t="s">
        <v>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2" t="s">
        <v>192</v>
      </c>
      <c r="U2" s="12"/>
      <c r="V2" s="12"/>
      <c r="W2" s="12"/>
    </row>
    <row r="3" spans="1:23" x14ac:dyDescent="0.25">
      <c r="A3" s="3" t="s">
        <v>1</v>
      </c>
      <c r="B3" s="3" t="s">
        <v>2</v>
      </c>
      <c r="C3" s="3" t="s">
        <v>3</v>
      </c>
      <c r="D3" s="14" t="s">
        <v>190</v>
      </c>
      <c r="E3" s="14"/>
      <c r="F3" s="14"/>
      <c r="G3" s="14"/>
      <c r="H3" s="14" t="s">
        <v>191</v>
      </c>
      <c r="I3" s="14"/>
      <c r="J3" s="14"/>
      <c r="K3" s="14"/>
      <c r="L3" s="14" t="s">
        <v>193</v>
      </c>
      <c r="M3" s="14"/>
      <c r="N3" s="14"/>
      <c r="O3" s="14"/>
      <c r="P3" s="14" t="s">
        <v>194</v>
      </c>
      <c r="Q3" s="14"/>
      <c r="R3" s="14"/>
      <c r="S3" s="14"/>
      <c r="T3" s="12"/>
      <c r="U3" s="12"/>
      <c r="V3" s="12"/>
      <c r="W3" s="12"/>
    </row>
    <row r="4" spans="1:23" x14ac:dyDescent="0.25">
      <c r="A4" s="4" t="s">
        <v>195</v>
      </c>
      <c r="B4" s="4" t="s">
        <v>108</v>
      </c>
      <c r="C4" s="4" t="s">
        <v>109</v>
      </c>
      <c r="D4" s="11" t="s">
        <v>110</v>
      </c>
      <c r="E4" s="11" t="s">
        <v>110</v>
      </c>
      <c r="F4" s="11" t="s">
        <v>110</v>
      </c>
      <c r="G4" s="11" t="s">
        <v>102</v>
      </c>
      <c r="H4" s="4" t="s">
        <v>110</v>
      </c>
      <c r="I4" s="4" t="s">
        <v>110</v>
      </c>
      <c r="J4" s="4" t="s">
        <v>102</v>
      </c>
      <c r="K4" s="4" t="s">
        <v>110</v>
      </c>
      <c r="L4" s="4" t="s">
        <v>110</v>
      </c>
      <c r="M4" s="4" t="s">
        <v>102</v>
      </c>
      <c r="N4" s="4" t="s">
        <v>102</v>
      </c>
      <c r="O4" s="4" t="s">
        <v>102</v>
      </c>
      <c r="P4" s="4" t="s">
        <v>110</v>
      </c>
      <c r="Q4" s="4" t="s">
        <v>102</v>
      </c>
      <c r="R4" s="4" t="s">
        <v>110</v>
      </c>
      <c r="S4" s="4" t="s">
        <v>110</v>
      </c>
      <c r="T4" s="1" t="str" cm="1">
        <f t="array" ref="T4">"9'b" &amp; _xlfn.XLOOKUP(TRIM(D$3)&amp;"", Mapping!$D$2:$D$9&amp;"", Mapping!$E$2:$E$9, "NOT_FOUND") &amp; "_" &amp; $C4 &amp; ": return {" &amp; _xlfn.TEXTJOIN(", ", TRUE, _xlfn.XLOOKUP(TRIM(D4:G4)&amp;"", Mapping!$A$2:$A$6&amp;"", Mapping!$B$2:$B$6, "NOT_FOUND")) &amp; "}; //  " &amp; D4 &amp; ",  " &amp; E4 &amp; ",  " &amp; F4 &amp; ",  " &amp; G4</f>
        <v>9'b100_000000: return {3'b000, 3'b000, 3'b000, 3'b001}; //  0,  0,  0,  +1</v>
      </c>
      <c r="U4" s="1" t="str" cm="1">
        <f t="array" ref="U4">"9'b"&amp; _xlfn.XLOOKUP(--TRIM(H$3),--Mapping!$D$2:$D$9,Mapping!$E$2:$E$9) &amp; "_" &amp; $C4 &amp; ": return " &amp; "{" &amp; _xlfn.TEXTJOIN(", ", TRUE, _xlfn.XLOOKUP(--TRIM(H4:K4), --Mapping!$A$2:$A$6, Mapping!$B$2:$B$6)) &amp; "}" &amp; "; //  " &amp; H4 &amp; ",  "  &amp; I4 &amp; ",  "  &amp; J4 &amp; ",  "  &amp; K4</f>
        <v>9'b110_000000: return {3'b000, 3'b000, 3'b001, 3'b000}; //  0,  0,  +1,  0</v>
      </c>
      <c r="V4" s="1" t="str" cm="1">
        <f t="array" ref="V4">"9'b"&amp; _xlfn.XLOOKUP(--TRIM(L$3),--Mapping!$D$2:$D$9,Mapping!$E$2:$E$9) &amp; "_" &amp; $C4 &amp; ": return " &amp; "{" &amp; _xlfn.TEXTJOIN(", ", TRUE, _xlfn.XLOOKUP(--TRIM(L4:O4), --Mapping!$A$2:$A$6, Mapping!$B$2:$B$6)) &amp; "}" &amp; "; //  " &amp; L4 &amp; ",  "  &amp; M4 &amp; ",  "  &amp; N4 &amp; ",  "  &amp; O4</f>
        <v>9'b101_000000: return {3'b000, 3'b001, 3'b001, 3'b001}; //  0,  +1,  +1,  +1</v>
      </c>
      <c r="W4" s="1" t="str" cm="1">
        <f t="array" ref="W4">"9'b"&amp; _xlfn.XLOOKUP(--TRIM(P$3),--Mapping!$D$2:$D$9,Mapping!$E$2:$E$9) &amp; "_" &amp; $C4 &amp; ": return " &amp; "{" &amp; _xlfn.TEXTJOIN(", ", TRUE, _xlfn.XLOOKUP(--TRIM(P4:S4), --Mapping!$A$2:$A$6, Mapping!$B$2:$B$6)) &amp; "}" &amp; "; //  " &amp; P4 &amp; ",  "  &amp; Q4 &amp; ",  "  &amp; R4 &amp; ",  "  &amp; S4</f>
        <v>9'b111_000000: return {3'b000, 3'b001, 3'b000, 3'b000}; //  0,  +1,  0,  0</v>
      </c>
    </row>
    <row r="5" spans="1:23" x14ac:dyDescent="0.25">
      <c r="A5" s="1" t="s">
        <v>196</v>
      </c>
      <c r="B5" s="1" t="s">
        <v>108</v>
      </c>
      <c r="C5" s="1" t="s">
        <v>111</v>
      </c>
      <c r="D5" s="1" t="s">
        <v>112</v>
      </c>
      <c r="E5" s="1" t="s">
        <v>110</v>
      </c>
      <c r="F5" s="1" t="s">
        <v>110</v>
      </c>
      <c r="G5" s="1" t="s">
        <v>102</v>
      </c>
      <c r="H5" s="1" t="s">
        <v>112</v>
      </c>
      <c r="I5" s="1" t="s">
        <v>110</v>
      </c>
      <c r="J5" s="1" t="s">
        <v>102</v>
      </c>
      <c r="K5" s="1" t="s">
        <v>110</v>
      </c>
      <c r="L5" s="1" t="s">
        <v>112</v>
      </c>
      <c r="M5" s="1" t="s">
        <v>102</v>
      </c>
      <c r="N5" s="1" t="s">
        <v>102</v>
      </c>
      <c r="O5" s="1" t="s">
        <v>102</v>
      </c>
      <c r="P5" s="1" t="s">
        <v>112</v>
      </c>
      <c r="Q5" s="1" t="s">
        <v>102</v>
      </c>
      <c r="R5" s="1" t="s">
        <v>110</v>
      </c>
      <c r="S5" s="1" t="s">
        <v>110</v>
      </c>
      <c r="T5" s="1" t="str" cm="1">
        <f t="array" ref="T5">"9'b" &amp; _xlfn.XLOOKUP(TRIM(D$3)&amp;"", Mapping!$D$2:$D$9&amp;"", Mapping!$E$2:$E$9, "NOT_FOUND") &amp; "_" &amp; $C5 &amp; ": return {" &amp; _xlfn.TEXTJOIN(", ", TRUE, _xlfn.XLOOKUP(TRIM(D5:G5)&amp;"", Mapping!$A$2:$A$6&amp;"", Mapping!$B$2:$B$6, "NOT_FOUND")) &amp; "}; //  " &amp; D5 &amp; ",  " &amp; E5 &amp; ",  " &amp; F5 &amp; ",  " &amp; G5</f>
        <v>9'b100_000001: return {3'b110, 3'b000, 3'b000, 3'b001}; //  -2,  0,  0,  +1</v>
      </c>
      <c r="U5" s="1" t="str" cm="1">
        <f t="array" ref="U5">"9'b"&amp; _xlfn.XLOOKUP(--TRIM(H$3),--Mapping!$D$2:$D$9,Mapping!$E$2:$E$9) &amp; "_" &amp; $C5 &amp; ": return " &amp; "{" &amp; _xlfn.TEXTJOIN(", ", TRUE, _xlfn.XLOOKUP(--TRIM(H5:K5), --Mapping!$A$2:$A$6, Mapping!$B$2:$B$6)) &amp; "}" &amp; "; //  " &amp; H5 &amp; ",  "  &amp; I5 &amp; ",  "  &amp; J5 &amp; ",  "  &amp; K5</f>
        <v>9'b110_000001: return {3'b110, 3'b000, 3'b001, 3'b000}; //  -2,  0,  +1,  0</v>
      </c>
      <c r="V5" s="1" t="str" cm="1">
        <f t="array" ref="V5">"9'b"&amp; _xlfn.XLOOKUP(--TRIM(L$3),--Mapping!$D$2:$D$9,Mapping!$E$2:$E$9) &amp; "_" &amp; $C5 &amp; ": return " &amp; "{" &amp; _xlfn.TEXTJOIN(", ", TRUE, _xlfn.XLOOKUP(--TRIM(L5:O5), --Mapping!$A$2:$A$6, Mapping!$B$2:$B$6)) &amp; "}" &amp; "; //  " &amp; L5 &amp; ",  "  &amp; M5 &amp; ",  "  &amp; N5 &amp; ",  "  &amp; O5</f>
        <v>9'b101_000001: return {3'b110, 3'b001, 3'b001, 3'b001}; //  -2,  +1,  +1,  +1</v>
      </c>
      <c r="W5" s="1" t="str" cm="1">
        <f t="array" ref="W5">"9'b"&amp; _xlfn.XLOOKUP(--TRIM(P$3),--Mapping!$D$2:$D$9,Mapping!$E$2:$E$9) &amp; "_" &amp; $C5 &amp; ": return " &amp; "{" &amp; _xlfn.TEXTJOIN(", ", TRUE, _xlfn.XLOOKUP(--TRIM(P5:S5), --Mapping!$A$2:$A$6, Mapping!$B$2:$B$6)) &amp; "}" &amp; "; //  " &amp; P5 &amp; ",  "  &amp; Q5 &amp; ",  "  &amp; R5 &amp; ",  "  &amp; S5</f>
        <v>9'b111_000001: return {3'b110, 3'b001, 3'b000, 3'b000}; //  -2,  +1,  0,  0</v>
      </c>
    </row>
    <row r="6" spans="1:23" x14ac:dyDescent="0.25">
      <c r="A6" s="1" t="s">
        <v>197</v>
      </c>
      <c r="B6" s="1" t="s">
        <v>108</v>
      </c>
      <c r="C6" s="1" t="s">
        <v>113</v>
      </c>
      <c r="D6" s="1" t="s">
        <v>110</v>
      </c>
      <c r="E6" s="1" t="s">
        <v>112</v>
      </c>
      <c r="F6" s="1" t="s">
        <v>110</v>
      </c>
      <c r="G6" s="1" t="s">
        <v>102</v>
      </c>
      <c r="H6" s="1" t="s">
        <v>110</v>
      </c>
      <c r="I6" s="1" t="s">
        <v>112</v>
      </c>
      <c r="J6" s="1" t="s">
        <v>102</v>
      </c>
      <c r="K6" s="1" t="s">
        <v>110</v>
      </c>
      <c r="L6" s="1" t="s">
        <v>110</v>
      </c>
      <c r="M6" s="1" t="s">
        <v>114</v>
      </c>
      <c r="N6" s="1" t="s">
        <v>102</v>
      </c>
      <c r="O6" s="1" t="s">
        <v>102</v>
      </c>
      <c r="P6" s="1" t="s">
        <v>110</v>
      </c>
      <c r="Q6" s="1" t="s">
        <v>114</v>
      </c>
      <c r="R6" s="1" t="s">
        <v>110</v>
      </c>
      <c r="S6" s="1" t="s">
        <v>110</v>
      </c>
      <c r="T6" s="1" t="str" cm="1">
        <f t="array" ref="T6">"9'b" &amp; _xlfn.XLOOKUP(TRIM(D$3)&amp;"", Mapping!$D$2:$D$9&amp;"", Mapping!$E$2:$E$9, "NOT_FOUND") &amp; "_" &amp; $C6 &amp; ": return {" &amp; _xlfn.TEXTJOIN(", ", TRUE, _xlfn.XLOOKUP(TRIM(D6:G6)&amp;"", Mapping!$A$2:$A$6&amp;"", Mapping!$B$2:$B$6, "NOT_FOUND")) &amp; "}; //  " &amp; D6 &amp; ",  " &amp; E6 &amp; ",  " &amp; F6 &amp; ",  " &amp; G6</f>
        <v>9'b100_000010: return {3'b000, 3'b110, 3'b000, 3'b001}; //  0,  -2,  0,  +1</v>
      </c>
      <c r="U6" s="1" t="str" cm="1">
        <f t="array" ref="U6">"9'b"&amp; _xlfn.XLOOKUP(--TRIM(H$3),--Mapping!$D$2:$D$9,Mapping!$E$2:$E$9) &amp; "_" &amp; $C6 &amp; ": return " &amp; "{" &amp; _xlfn.TEXTJOIN(", ", TRUE, _xlfn.XLOOKUP(--TRIM(H6:K6), --Mapping!$A$2:$A$6, Mapping!$B$2:$B$6)) &amp; "}" &amp; "; //  " &amp; H6 &amp; ",  "  &amp; I6 &amp; ",  "  &amp; J6 &amp; ",  "  &amp; K6</f>
        <v>9'b110_000010: return {3'b000, 3'b110, 3'b001, 3'b000}; //  0,  -2,  +1,  0</v>
      </c>
      <c r="V6" s="1" t="str" cm="1">
        <f t="array" ref="V6">"9'b"&amp; _xlfn.XLOOKUP(--TRIM(L$3),--Mapping!$D$2:$D$9,Mapping!$E$2:$E$9) &amp; "_" &amp; $C6 &amp; ": return " &amp; "{" &amp; _xlfn.TEXTJOIN(", ", TRUE, _xlfn.XLOOKUP(--TRIM(L6:O6), --Mapping!$A$2:$A$6, Mapping!$B$2:$B$6)) &amp; "}" &amp; "; //  " &amp; L6 &amp; ",  "  &amp; M6 &amp; ",  "  &amp; N6 &amp; ",  "  &amp; O6</f>
        <v>9'b101_000010: return {3'b000, 3'b111, 3'b001, 3'b001}; //  0,  -1,  +1,  +1</v>
      </c>
      <c r="W6" s="1" t="str" cm="1">
        <f t="array" ref="W6">"9'b"&amp; _xlfn.XLOOKUP(--TRIM(P$3),--Mapping!$D$2:$D$9,Mapping!$E$2:$E$9) &amp; "_" &amp; $C6 &amp; ": return " &amp; "{" &amp; _xlfn.TEXTJOIN(", ", TRUE, _xlfn.XLOOKUP(--TRIM(P6:S6), --Mapping!$A$2:$A$6, Mapping!$B$2:$B$6)) &amp; "}" &amp; "; //  " &amp; P6 &amp; ",  "  &amp; Q6 &amp; ",  "  &amp; R6 &amp; ",  "  &amp; S6</f>
        <v>9'b111_000010: return {3'b000, 3'b111, 3'b000, 3'b000}; //  0,  -1,  0,  0</v>
      </c>
    </row>
    <row r="7" spans="1:23" x14ac:dyDescent="0.25">
      <c r="A7" s="1" t="s">
        <v>198</v>
      </c>
      <c r="B7" s="1" t="s">
        <v>108</v>
      </c>
      <c r="C7" s="1" t="s">
        <v>115</v>
      </c>
      <c r="D7" s="1" t="s">
        <v>112</v>
      </c>
      <c r="E7" s="1" t="s">
        <v>112</v>
      </c>
      <c r="F7" s="1" t="s">
        <v>110</v>
      </c>
      <c r="G7" s="1" t="s">
        <v>102</v>
      </c>
      <c r="H7" s="1" t="s">
        <v>112</v>
      </c>
      <c r="I7" s="1" t="s">
        <v>112</v>
      </c>
      <c r="J7" s="1" t="s">
        <v>102</v>
      </c>
      <c r="K7" s="1" t="s">
        <v>110</v>
      </c>
      <c r="L7" s="1" t="s">
        <v>112</v>
      </c>
      <c r="M7" s="1" t="s">
        <v>114</v>
      </c>
      <c r="N7" s="1" t="s">
        <v>102</v>
      </c>
      <c r="O7" s="1" t="s">
        <v>102</v>
      </c>
      <c r="P7" s="1" t="s">
        <v>112</v>
      </c>
      <c r="Q7" s="1" t="s">
        <v>114</v>
      </c>
      <c r="R7" s="1" t="s">
        <v>110</v>
      </c>
      <c r="S7" s="1" t="s">
        <v>110</v>
      </c>
      <c r="T7" s="1" t="str" cm="1">
        <f t="array" ref="T7">"9'b" &amp; _xlfn.XLOOKUP(TRIM(D$3)&amp;"", Mapping!$D$2:$D$9&amp;"", Mapping!$E$2:$E$9, "NOT_FOUND") &amp; "_" &amp; $C7 &amp; ": return {" &amp; _xlfn.TEXTJOIN(", ", TRUE, _xlfn.XLOOKUP(TRIM(D7:G7)&amp;"", Mapping!$A$2:$A$6&amp;"", Mapping!$B$2:$B$6, "NOT_FOUND")) &amp; "}; //  " &amp; D7 &amp; ",  " &amp; E7 &amp; ",  " &amp; F7 &amp; ",  " &amp; G7</f>
        <v>9'b100_000011: return {3'b110, 3'b110, 3'b000, 3'b001}; //  -2,  -2,  0,  +1</v>
      </c>
      <c r="U7" s="1" t="str" cm="1">
        <f t="array" ref="U7">"9'b"&amp; _xlfn.XLOOKUP(--TRIM(H$3),--Mapping!$D$2:$D$9,Mapping!$E$2:$E$9) &amp; "_" &amp; $C7 &amp; ": return " &amp; "{" &amp; _xlfn.TEXTJOIN(", ", TRUE, _xlfn.XLOOKUP(--TRIM(H7:K7), --Mapping!$A$2:$A$6, Mapping!$B$2:$B$6)) &amp; "}" &amp; "; //  " &amp; H7 &amp; ",  "  &amp; I7 &amp; ",  "  &amp; J7 &amp; ",  "  &amp; K7</f>
        <v>9'b110_000011: return {3'b110, 3'b110, 3'b001, 3'b000}; //  -2,  -2,  +1,  0</v>
      </c>
      <c r="V7" s="1" t="str" cm="1">
        <f t="array" ref="V7">"9'b"&amp; _xlfn.XLOOKUP(--TRIM(L$3),--Mapping!$D$2:$D$9,Mapping!$E$2:$E$9) &amp; "_" &amp; $C7 &amp; ": return " &amp; "{" &amp; _xlfn.TEXTJOIN(", ", TRUE, _xlfn.XLOOKUP(--TRIM(L7:O7), --Mapping!$A$2:$A$6, Mapping!$B$2:$B$6)) &amp; "}" &amp; "; //  " &amp; L7 &amp; ",  "  &amp; M7 &amp; ",  "  &amp; N7 &amp; ",  "  &amp; O7</f>
        <v>9'b101_000011: return {3'b110, 3'b111, 3'b001, 3'b001}; //  -2,  -1,  +1,  +1</v>
      </c>
      <c r="W7" s="1" t="str" cm="1">
        <f t="array" ref="W7">"9'b"&amp; _xlfn.XLOOKUP(--TRIM(P$3),--Mapping!$D$2:$D$9,Mapping!$E$2:$E$9) &amp; "_" &amp; $C7 &amp; ": return " &amp; "{" &amp; _xlfn.TEXTJOIN(", ", TRUE, _xlfn.XLOOKUP(--TRIM(P7:S7), --Mapping!$A$2:$A$6, Mapping!$B$2:$B$6)) &amp; "}" &amp; "; //  " &amp; P7 &amp; ",  "  &amp; Q7 &amp; ",  "  &amp; R7 &amp; ",  "  &amp; S7</f>
        <v>9'b111_000011: return {3'b110, 3'b111, 3'b000, 3'b000}; //  -2,  -1,  0,  0</v>
      </c>
    </row>
    <row r="8" spans="1:23" x14ac:dyDescent="0.25">
      <c r="A8" s="1" t="s">
        <v>199</v>
      </c>
      <c r="B8" s="1" t="s">
        <v>108</v>
      </c>
      <c r="C8" s="1" t="s">
        <v>116</v>
      </c>
      <c r="D8" s="1" t="s">
        <v>110</v>
      </c>
      <c r="E8" s="1" t="s">
        <v>110</v>
      </c>
      <c r="F8" s="1" t="s">
        <v>112</v>
      </c>
      <c r="G8" s="1" t="s">
        <v>102</v>
      </c>
      <c r="H8" s="1" t="s">
        <v>110</v>
      </c>
      <c r="I8" s="1" t="s">
        <v>110</v>
      </c>
      <c r="J8" s="1" t="s">
        <v>114</v>
      </c>
      <c r="K8" s="1" t="s">
        <v>110</v>
      </c>
      <c r="L8" s="1" t="s">
        <v>110</v>
      </c>
      <c r="M8" s="1" t="s">
        <v>102</v>
      </c>
      <c r="N8" s="1" t="s">
        <v>114</v>
      </c>
      <c r="O8" s="1" t="s">
        <v>102</v>
      </c>
      <c r="P8" s="1" t="s">
        <v>110</v>
      </c>
      <c r="Q8" s="1" t="s">
        <v>102</v>
      </c>
      <c r="R8" s="1" t="s">
        <v>112</v>
      </c>
      <c r="S8" s="1" t="s">
        <v>110</v>
      </c>
      <c r="T8" s="1" t="str" cm="1">
        <f t="array" ref="T8">"9'b" &amp; _xlfn.XLOOKUP(TRIM(D$3)&amp;"", Mapping!$D$2:$D$9&amp;"", Mapping!$E$2:$E$9, "NOT_FOUND") &amp; "_" &amp; $C8 &amp; ": return {" &amp; _xlfn.TEXTJOIN(", ", TRUE, _xlfn.XLOOKUP(TRIM(D8:G8)&amp;"", Mapping!$A$2:$A$6&amp;"", Mapping!$B$2:$B$6, "NOT_FOUND")) &amp; "}; //  " &amp; D8 &amp; ",  " &amp; E8 &amp; ",  " &amp; F8 &amp; ",  " &amp; G8</f>
        <v>9'b100_000100: return {3'b000, 3'b000, 3'b110, 3'b001}; //  0,  0,  -2,  +1</v>
      </c>
      <c r="U8" s="1" t="str" cm="1">
        <f t="array" ref="U8">"9'b"&amp; _xlfn.XLOOKUP(--TRIM(H$3),--Mapping!$D$2:$D$9,Mapping!$E$2:$E$9) &amp; "_" &amp; $C8 &amp; ": return " &amp; "{" &amp; _xlfn.TEXTJOIN(", ", TRUE, _xlfn.XLOOKUP(--TRIM(H8:K8), --Mapping!$A$2:$A$6, Mapping!$B$2:$B$6)) &amp; "}" &amp; "; //  " &amp; H8 &amp; ",  "  &amp; I8 &amp; ",  "  &amp; J8 &amp; ",  "  &amp; K8</f>
        <v>9'b110_000100: return {3'b000, 3'b000, 3'b111, 3'b000}; //  0,  0,  -1,  0</v>
      </c>
      <c r="V8" s="1" t="str" cm="1">
        <f t="array" ref="V8">"9'b"&amp; _xlfn.XLOOKUP(--TRIM(L$3),--Mapping!$D$2:$D$9,Mapping!$E$2:$E$9) &amp; "_" &amp; $C8 &amp; ": return " &amp; "{" &amp; _xlfn.TEXTJOIN(", ", TRUE, _xlfn.XLOOKUP(--TRIM(L8:O8), --Mapping!$A$2:$A$6, Mapping!$B$2:$B$6)) &amp; "}" &amp; "; //  " &amp; L8 &amp; ",  "  &amp; M8 &amp; ",  "  &amp; N8 &amp; ",  "  &amp; O8</f>
        <v>9'b101_000100: return {3'b000, 3'b001, 3'b111, 3'b001}; //  0,  +1,  -1,  +1</v>
      </c>
      <c r="W8" s="1" t="str" cm="1">
        <f t="array" ref="W8">"9'b"&amp; _xlfn.XLOOKUP(--TRIM(P$3),--Mapping!$D$2:$D$9,Mapping!$E$2:$E$9) &amp; "_" &amp; $C8 &amp; ": return " &amp; "{" &amp; _xlfn.TEXTJOIN(", ", TRUE, _xlfn.XLOOKUP(--TRIM(P8:S8), --Mapping!$A$2:$A$6, Mapping!$B$2:$B$6)) &amp; "}" &amp; "; //  " &amp; P8 &amp; ",  "  &amp; Q8 &amp; ",  "  &amp; R8 &amp; ",  "  &amp; S8</f>
        <v>9'b111_000100: return {3'b000, 3'b001, 3'b110, 3'b000}; //  0,  +1,  -2,  0</v>
      </c>
    </row>
    <row r="9" spans="1:23" x14ac:dyDescent="0.25">
      <c r="A9" s="1" t="s">
        <v>200</v>
      </c>
      <c r="B9" s="1" t="s">
        <v>108</v>
      </c>
      <c r="C9" s="1" t="s">
        <v>117</v>
      </c>
      <c r="D9" s="1" t="s">
        <v>112</v>
      </c>
      <c r="E9" s="1" t="s">
        <v>110</v>
      </c>
      <c r="F9" s="1" t="s">
        <v>112</v>
      </c>
      <c r="G9" s="1" t="s">
        <v>102</v>
      </c>
      <c r="H9" s="1" t="s">
        <v>112</v>
      </c>
      <c r="I9" s="1" t="s">
        <v>110</v>
      </c>
      <c r="J9" s="1" t="s">
        <v>114</v>
      </c>
      <c r="K9" s="1" t="s">
        <v>110</v>
      </c>
      <c r="L9" s="1" t="s">
        <v>112</v>
      </c>
      <c r="M9" s="1" t="s">
        <v>102</v>
      </c>
      <c r="N9" s="1" t="s">
        <v>114</v>
      </c>
      <c r="O9" s="1" t="s">
        <v>102</v>
      </c>
      <c r="P9" s="1" t="s">
        <v>112</v>
      </c>
      <c r="Q9" s="1" t="s">
        <v>102</v>
      </c>
      <c r="R9" s="1" t="s">
        <v>112</v>
      </c>
      <c r="S9" s="1" t="s">
        <v>110</v>
      </c>
      <c r="T9" s="1" t="str" cm="1">
        <f t="array" ref="T9">"9'b" &amp; _xlfn.XLOOKUP(TRIM(D$3)&amp;"", Mapping!$D$2:$D$9&amp;"", Mapping!$E$2:$E$9, "NOT_FOUND") &amp; "_" &amp; $C9 &amp; ": return {" &amp; _xlfn.TEXTJOIN(", ", TRUE, _xlfn.XLOOKUP(TRIM(D9:G9)&amp;"", Mapping!$A$2:$A$6&amp;"", Mapping!$B$2:$B$6, "NOT_FOUND")) &amp; "}; //  " &amp; D9 &amp; ",  " &amp; E9 &amp; ",  " &amp; F9 &amp; ",  " &amp; G9</f>
        <v>9'b100_000101: return {3'b110, 3'b000, 3'b110, 3'b001}; //  -2,  0,  -2,  +1</v>
      </c>
      <c r="U9" s="1" t="str" cm="1">
        <f t="array" ref="U9">"9'b"&amp; _xlfn.XLOOKUP(--TRIM(H$3),--Mapping!$D$2:$D$9,Mapping!$E$2:$E$9) &amp; "_" &amp; $C9 &amp; ": return " &amp; "{" &amp; _xlfn.TEXTJOIN(", ", TRUE, _xlfn.XLOOKUP(--TRIM(H9:K9), --Mapping!$A$2:$A$6, Mapping!$B$2:$B$6)) &amp; "}" &amp; "; //  " &amp; H9 &amp; ",  "  &amp; I9 &amp; ",  "  &amp; J9 &amp; ",  "  &amp; K9</f>
        <v>9'b110_000101: return {3'b110, 3'b000, 3'b111, 3'b000}; //  -2,  0,  -1,  0</v>
      </c>
      <c r="V9" s="1" t="str" cm="1">
        <f t="array" ref="V9">"9'b"&amp; _xlfn.XLOOKUP(--TRIM(L$3),--Mapping!$D$2:$D$9,Mapping!$E$2:$E$9) &amp; "_" &amp; $C9 &amp; ": return " &amp; "{" &amp; _xlfn.TEXTJOIN(", ", TRUE, _xlfn.XLOOKUP(--TRIM(L9:O9), --Mapping!$A$2:$A$6, Mapping!$B$2:$B$6)) &amp; "}" &amp; "; //  " &amp; L9 &amp; ",  "  &amp; M9 &amp; ",  "  &amp; N9 &amp; ",  "  &amp; O9</f>
        <v>9'b101_000101: return {3'b110, 3'b001, 3'b111, 3'b001}; //  -2,  +1,  -1,  +1</v>
      </c>
      <c r="W9" s="1" t="str" cm="1">
        <f t="array" ref="W9">"9'b"&amp; _xlfn.XLOOKUP(--TRIM(P$3),--Mapping!$D$2:$D$9,Mapping!$E$2:$E$9) &amp; "_" &amp; $C9 &amp; ": return " &amp; "{" &amp; _xlfn.TEXTJOIN(", ", TRUE, _xlfn.XLOOKUP(--TRIM(P9:S9), --Mapping!$A$2:$A$6, Mapping!$B$2:$B$6)) &amp; "}" &amp; "; //  " &amp; P9 &amp; ",  "  &amp; Q9 &amp; ",  "  &amp; R9 &amp; ",  "  &amp; S9</f>
        <v>9'b111_000101: return {3'b110, 3'b001, 3'b110, 3'b000}; //  -2,  +1,  -2,  0</v>
      </c>
    </row>
    <row r="10" spans="1:23" x14ac:dyDescent="0.25">
      <c r="A10" s="1" t="s">
        <v>201</v>
      </c>
      <c r="B10" s="1" t="s">
        <v>108</v>
      </c>
      <c r="C10" s="1" t="s">
        <v>118</v>
      </c>
      <c r="D10" s="1" t="s">
        <v>110</v>
      </c>
      <c r="E10" s="1" t="s">
        <v>112</v>
      </c>
      <c r="F10" s="1" t="s">
        <v>112</v>
      </c>
      <c r="G10" s="1" t="s">
        <v>102</v>
      </c>
      <c r="H10" s="1" t="s">
        <v>110</v>
      </c>
      <c r="I10" s="1" t="s">
        <v>112</v>
      </c>
      <c r="J10" s="1" t="s">
        <v>114</v>
      </c>
      <c r="K10" s="1" t="s">
        <v>110</v>
      </c>
      <c r="L10" s="1" t="s">
        <v>110</v>
      </c>
      <c r="M10" s="1" t="s">
        <v>114</v>
      </c>
      <c r="N10" s="1" t="s">
        <v>114</v>
      </c>
      <c r="O10" s="1" t="s">
        <v>102</v>
      </c>
      <c r="P10" s="1" t="s">
        <v>110</v>
      </c>
      <c r="Q10" s="1" t="s">
        <v>114</v>
      </c>
      <c r="R10" s="1" t="s">
        <v>112</v>
      </c>
      <c r="S10" s="1" t="s">
        <v>110</v>
      </c>
      <c r="T10" s="1" t="str" cm="1">
        <f t="array" ref="T10">"9'b" &amp; _xlfn.XLOOKUP(TRIM(D$3)&amp;"", Mapping!$D$2:$D$9&amp;"", Mapping!$E$2:$E$9, "NOT_FOUND") &amp; "_" &amp; $C10 &amp; ": return {" &amp; _xlfn.TEXTJOIN(", ", TRUE, _xlfn.XLOOKUP(TRIM(D10:G10)&amp;"", Mapping!$A$2:$A$6&amp;"", Mapping!$B$2:$B$6, "NOT_FOUND")) &amp; "}; //  " &amp; D10 &amp; ",  " &amp; E10 &amp; ",  " &amp; F10 &amp; ",  " &amp; G10</f>
        <v>9'b100_000110: return {3'b000, 3'b110, 3'b110, 3'b001}; //  0,  -2,  -2,  +1</v>
      </c>
      <c r="U10" s="1" t="str" cm="1">
        <f t="array" ref="U10">"9'b"&amp; _xlfn.XLOOKUP(--TRIM(H$3),--Mapping!$D$2:$D$9,Mapping!$E$2:$E$9) &amp; "_" &amp; $C10 &amp; ": return " &amp; "{" &amp; _xlfn.TEXTJOIN(", ", TRUE, _xlfn.XLOOKUP(--TRIM(H10:K10), --Mapping!$A$2:$A$6, Mapping!$B$2:$B$6)) &amp; "}" &amp; "; //  " &amp; H10 &amp; ",  "  &amp; I10 &amp; ",  "  &amp; J10 &amp; ",  "  &amp; K10</f>
        <v>9'b110_000110: return {3'b000, 3'b110, 3'b111, 3'b000}; //  0,  -2,  -1,  0</v>
      </c>
      <c r="V10" s="1" t="str" cm="1">
        <f t="array" ref="V10">"9'b"&amp; _xlfn.XLOOKUP(--TRIM(L$3),--Mapping!$D$2:$D$9,Mapping!$E$2:$E$9) &amp; "_" &amp; $C10 &amp; ": return " &amp; "{" &amp; _xlfn.TEXTJOIN(", ", TRUE, _xlfn.XLOOKUP(--TRIM(L10:O10), --Mapping!$A$2:$A$6, Mapping!$B$2:$B$6)) &amp; "}" &amp; "; //  " &amp; L10 &amp; ",  "  &amp; M10 &amp; ",  "  &amp; N10 &amp; ",  "  &amp; O10</f>
        <v>9'b101_000110: return {3'b000, 3'b111, 3'b111, 3'b001}; //  0,  -1,  -1,  +1</v>
      </c>
      <c r="W10" s="1" t="str" cm="1">
        <f t="array" ref="W10">"9'b"&amp; _xlfn.XLOOKUP(--TRIM(P$3),--Mapping!$D$2:$D$9,Mapping!$E$2:$E$9) &amp; "_" &amp; $C10 &amp; ": return " &amp; "{" &amp; _xlfn.TEXTJOIN(", ", TRUE, _xlfn.XLOOKUP(--TRIM(P10:S10), --Mapping!$A$2:$A$6, Mapping!$B$2:$B$6)) &amp; "}" &amp; "; //  " &amp; P10 &amp; ",  "  &amp; Q10 &amp; ",  "  &amp; R10 &amp; ",  "  &amp; S10</f>
        <v>9'b111_000110: return {3'b000, 3'b111, 3'b110, 3'b000}; //  0,  -1,  -2,  0</v>
      </c>
    </row>
    <row r="11" spans="1:23" x14ac:dyDescent="0.25">
      <c r="A11" s="1" t="s">
        <v>202</v>
      </c>
      <c r="B11" s="1" t="s">
        <v>108</v>
      </c>
      <c r="C11" s="1" t="s">
        <v>119</v>
      </c>
      <c r="D11" s="1" t="s">
        <v>112</v>
      </c>
      <c r="E11" s="1" t="s">
        <v>112</v>
      </c>
      <c r="F11" s="1" t="s">
        <v>112</v>
      </c>
      <c r="G11" s="1" t="s">
        <v>102</v>
      </c>
      <c r="H11" s="1" t="s">
        <v>112</v>
      </c>
      <c r="I11" s="1" t="s">
        <v>112</v>
      </c>
      <c r="J11" s="1" t="s">
        <v>114</v>
      </c>
      <c r="K11" s="1" t="s">
        <v>110</v>
      </c>
      <c r="L11" s="1" t="s">
        <v>112</v>
      </c>
      <c r="M11" s="1" t="s">
        <v>114</v>
      </c>
      <c r="N11" s="1" t="s">
        <v>114</v>
      </c>
      <c r="O11" s="1" t="s">
        <v>102</v>
      </c>
      <c r="P11" s="1" t="s">
        <v>112</v>
      </c>
      <c r="Q11" s="1" t="s">
        <v>114</v>
      </c>
      <c r="R11" s="1" t="s">
        <v>112</v>
      </c>
      <c r="S11" s="1" t="s">
        <v>110</v>
      </c>
      <c r="T11" s="1" t="str" cm="1">
        <f t="array" ref="T11">"9'b" &amp; _xlfn.XLOOKUP(TRIM(D$3)&amp;"", Mapping!$D$2:$D$9&amp;"", Mapping!$E$2:$E$9, "NOT_FOUND") &amp; "_" &amp; $C11 &amp; ": return {" &amp; _xlfn.TEXTJOIN(", ", TRUE, _xlfn.XLOOKUP(TRIM(D11:G11)&amp;"", Mapping!$A$2:$A$6&amp;"", Mapping!$B$2:$B$6, "NOT_FOUND")) &amp; "}; //  " &amp; D11 &amp; ",  " &amp; E11 &amp; ",  " &amp; F11 &amp; ",  " &amp; G11</f>
        <v>9'b100_000111: return {3'b110, 3'b110, 3'b110, 3'b001}; //  -2,  -2,  -2,  +1</v>
      </c>
      <c r="U11" s="1" t="str" cm="1">
        <f t="array" ref="U11">"9'b"&amp; _xlfn.XLOOKUP(--TRIM(H$3),--Mapping!$D$2:$D$9,Mapping!$E$2:$E$9) &amp; "_" &amp; $C11 &amp; ": return " &amp; "{" &amp; _xlfn.TEXTJOIN(", ", TRUE, _xlfn.XLOOKUP(--TRIM(H11:K11), --Mapping!$A$2:$A$6, Mapping!$B$2:$B$6)) &amp; "}" &amp; "; //  " &amp; H11 &amp; ",  "  &amp; I11 &amp; ",  "  &amp; J11 &amp; ",  "  &amp; K11</f>
        <v>9'b110_000111: return {3'b110, 3'b110, 3'b111, 3'b000}; //  -2,  -2,  -1,  0</v>
      </c>
      <c r="V11" s="1" t="str" cm="1">
        <f t="array" ref="V11">"9'b"&amp; _xlfn.XLOOKUP(--TRIM(L$3),--Mapping!$D$2:$D$9,Mapping!$E$2:$E$9) &amp; "_" &amp; $C11 &amp; ": return " &amp; "{" &amp; _xlfn.TEXTJOIN(", ", TRUE, _xlfn.XLOOKUP(--TRIM(L11:O11), --Mapping!$A$2:$A$6, Mapping!$B$2:$B$6)) &amp; "}" &amp; "; //  " &amp; L11 &amp; ",  "  &amp; M11 &amp; ",  "  &amp; N11 &amp; ",  "  &amp; O11</f>
        <v>9'b101_000111: return {3'b110, 3'b111, 3'b111, 3'b001}; //  -2,  -1,  -1,  +1</v>
      </c>
      <c r="W11" s="1" t="str" cm="1">
        <f t="array" ref="W11">"9'b"&amp; _xlfn.XLOOKUP(--TRIM(P$3),--Mapping!$D$2:$D$9,Mapping!$E$2:$E$9) &amp; "_" &amp; $C11 &amp; ": return " &amp; "{" &amp; _xlfn.TEXTJOIN(", ", TRUE, _xlfn.XLOOKUP(--TRIM(P11:S11), --Mapping!$A$2:$A$6, Mapping!$B$2:$B$6)) &amp; "}" &amp; "; //  " &amp; P11 &amp; ",  "  &amp; Q11 &amp; ",  "  &amp; R11 &amp; ",  "  &amp; S11</f>
        <v>9'b111_000111: return {3'b110, 3'b111, 3'b110, 3'b000}; //  -2,  -1,  -2,  0</v>
      </c>
    </row>
    <row r="12" spans="1:23" x14ac:dyDescent="0.25">
      <c r="A12" s="1" t="s">
        <v>203</v>
      </c>
      <c r="B12" s="1" t="s">
        <v>108</v>
      </c>
      <c r="C12" s="1" t="s">
        <v>120</v>
      </c>
      <c r="D12" s="1" t="s">
        <v>110</v>
      </c>
      <c r="E12" s="1" t="s">
        <v>110</v>
      </c>
      <c r="F12" s="1" t="s">
        <v>110</v>
      </c>
      <c r="G12" s="1" t="s">
        <v>114</v>
      </c>
      <c r="H12" s="1" t="s">
        <v>110</v>
      </c>
      <c r="I12" s="1" t="s">
        <v>110</v>
      </c>
      <c r="J12" s="1" t="s">
        <v>102</v>
      </c>
      <c r="K12" s="1" t="s">
        <v>112</v>
      </c>
      <c r="L12" s="1" t="s">
        <v>110</v>
      </c>
      <c r="M12" s="1" t="s">
        <v>102</v>
      </c>
      <c r="N12" s="1" t="s">
        <v>102</v>
      </c>
      <c r="O12" s="1" t="s">
        <v>114</v>
      </c>
      <c r="P12" s="1" t="s">
        <v>110</v>
      </c>
      <c r="Q12" s="1" t="s">
        <v>102</v>
      </c>
      <c r="R12" s="1" t="s">
        <v>110</v>
      </c>
      <c r="S12" s="1" t="s">
        <v>112</v>
      </c>
      <c r="T12" s="1" t="str" cm="1">
        <f t="array" ref="T12">"9'b" &amp; _xlfn.XLOOKUP(TRIM(D$3)&amp;"", Mapping!$D$2:$D$9&amp;"", Mapping!$E$2:$E$9, "NOT_FOUND") &amp; "_" &amp; $C12 &amp; ": return {" &amp; _xlfn.TEXTJOIN(", ", TRUE, _xlfn.XLOOKUP(TRIM(D12:G12)&amp;"", Mapping!$A$2:$A$6&amp;"", Mapping!$B$2:$B$6, "NOT_FOUND")) &amp; "}; //  " &amp; D12 &amp; ",  " &amp; E12 &amp; ",  " &amp; F12 &amp; ",  " &amp; G12</f>
        <v>9'b100_001000: return {3'b000, 3'b000, 3'b000, 3'b111}; //  0,  0,  0,  -1</v>
      </c>
      <c r="U12" s="1" t="str" cm="1">
        <f t="array" ref="U12">"9'b"&amp; _xlfn.XLOOKUP(--TRIM(H$3),--Mapping!$D$2:$D$9,Mapping!$E$2:$E$9) &amp; "_" &amp; $C12 &amp; ": return " &amp; "{" &amp; _xlfn.TEXTJOIN(", ", TRUE, _xlfn.XLOOKUP(--TRIM(H12:K12), --Mapping!$A$2:$A$6, Mapping!$B$2:$B$6)) &amp; "}" &amp; "; //  " &amp; H12 &amp; ",  "  &amp; I12 &amp; ",  "  &amp; J12 &amp; ",  "  &amp; K12</f>
        <v>9'b110_001000: return {3'b000, 3'b000, 3'b001, 3'b110}; //  0,  0,  +1,  -2</v>
      </c>
      <c r="V12" s="1" t="str" cm="1">
        <f t="array" ref="V12">"9'b"&amp; _xlfn.XLOOKUP(--TRIM(L$3),--Mapping!$D$2:$D$9,Mapping!$E$2:$E$9) &amp; "_" &amp; $C12 &amp; ": return " &amp; "{" &amp; _xlfn.TEXTJOIN(", ", TRUE, _xlfn.XLOOKUP(--TRIM(L12:O12), --Mapping!$A$2:$A$6, Mapping!$B$2:$B$6)) &amp; "}" &amp; "; //  " &amp; L12 &amp; ",  "  &amp; M12 &amp; ",  "  &amp; N12 &amp; ",  "  &amp; O12</f>
        <v>9'b101_001000: return {3'b000, 3'b001, 3'b001, 3'b111}; //  0,  +1,  +1,  -1</v>
      </c>
      <c r="W12" s="1" t="str" cm="1">
        <f t="array" ref="W12">"9'b"&amp; _xlfn.XLOOKUP(--TRIM(P$3),--Mapping!$D$2:$D$9,Mapping!$E$2:$E$9) &amp; "_" &amp; $C12 &amp; ": return " &amp; "{" &amp; _xlfn.TEXTJOIN(", ", TRUE, _xlfn.XLOOKUP(--TRIM(P12:S12), --Mapping!$A$2:$A$6, Mapping!$B$2:$B$6)) &amp; "}" &amp; "; //  " &amp; P12 &amp; ",  "  &amp; Q12 &amp; ",  "  &amp; R12 &amp; ",  "  &amp; S12</f>
        <v>9'b111_001000: return {3'b000, 3'b001, 3'b000, 3'b110}; //  0,  +1,  0,  -2</v>
      </c>
    </row>
    <row r="13" spans="1:23" x14ac:dyDescent="0.25">
      <c r="A13" s="1" t="s">
        <v>204</v>
      </c>
      <c r="B13" s="1" t="s">
        <v>108</v>
      </c>
      <c r="C13" s="1" t="s">
        <v>121</v>
      </c>
      <c r="D13" s="1" t="s">
        <v>112</v>
      </c>
      <c r="E13" s="1" t="s">
        <v>110</v>
      </c>
      <c r="F13" s="1" t="s">
        <v>110</v>
      </c>
      <c r="G13" s="1" t="s">
        <v>114</v>
      </c>
      <c r="H13" s="1" t="s">
        <v>112</v>
      </c>
      <c r="I13" s="1" t="s">
        <v>110</v>
      </c>
      <c r="J13" s="1" t="s">
        <v>102</v>
      </c>
      <c r="K13" s="1" t="s">
        <v>112</v>
      </c>
      <c r="L13" s="1" t="s">
        <v>112</v>
      </c>
      <c r="M13" s="1" t="s">
        <v>102</v>
      </c>
      <c r="N13" s="1" t="s">
        <v>102</v>
      </c>
      <c r="O13" s="1" t="s">
        <v>114</v>
      </c>
      <c r="P13" s="1" t="s">
        <v>112</v>
      </c>
      <c r="Q13" s="1" t="s">
        <v>102</v>
      </c>
      <c r="R13" s="1" t="s">
        <v>110</v>
      </c>
      <c r="S13" s="1" t="s">
        <v>112</v>
      </c>
      <c r="T13" s="1" t="str" cm="1">
        <f t="array" ref="T13">"9'b" &amp; _xlfn.XLOOKUP(TRIM(D$3)&amp;"", Mapping!$D$2:$D$9&amp;"", Mapping!$E$2:$E$9, "NOT_FOUND") &amp; "_" &amp; $C13 &amp; ": return {" &amp; _xlfn.TEXTJOIN(", ", TRUE, _xlfn.XLOOKUP(TRIM(D13:G13)&amp;"", Mapping!$A$2:$A$6&amp;"", Mapping!$B$2:$B$6, "NOT_FOUND")) &amp; "}; //  " &amp; D13 &amp; ",  " &amp; E13 &amp; ",  " &amp; F13 &amp; ",  " &amp; G13</f>
        <v>9'b100_001001: return {3'b110, 3'b000, 3'b000, 3'b111}; //  -2,  0,  0,  -1</v>
      </c>
      <c r="U13" s="1" t="str" cm="1">
        <f t="array" ref="U13">"9'b"&amp; _xlfn.XLOOKUP(--TRIM(H$3),--Mapping!$D$2:$D$9,Mapping!$E$2:$E$9) &amp; "_" &amp; $C13 &amp; ": return " &amp; "{" &amp; _xlfn.TEXTJOIN(", ", TRUE, _xlfn.XLOOKUP(--TRIM(H13:K13), --Mapping!$A$2:$A$6, Mapping!$B$2:$B$6)) &amp; "}" &amp; "; //  " &amp; H13 &amp; ",  "  &amp; I13 &amp; ",  "  &amp; J13 &amp; ",  "  &amp; K13</f>
        <v>9'b110_001001: return {3'b110, 3'b000, 3'b001, 3'b110}; //  -2,  0,  +1,  -2</v>
      </c>
      <c r="V13" s="1" t="str" cm="1">
        <f t="array" ref="V13">"9'b"&amp; _xlfn.XLOOKUP(--TRIM(L$3),--Mapping!$D$2:$D$9,Mapping!$E$2:$E$9) &amp; "_" &amp; $C13 &amp; ": return " &amp; "{" &amp; _xlfn.TEXTJOIN(", ", TRUE, _xlfn.XLOOKUP(--TRIM(L13:O13), --Mapping!$A$2:$A$6, Mapping!$B$2:$B$6)) &amp; "}" &amp; "; //  " &amp; L13 &amp; ",  "  &amp; M13 &amp; ",  "  &amp; N13 &amp; ",  "  &amp; O13</f>
        <v>9'b101_001001: return {3'b110, 3'b001, 3'b001, 3'b111}; //  -2,  +1,  +1,  -1</v>
      </c>
      <c r="W13" s="1" t="str" cm="1">
        <f t="array" ref="W13">"9'b"&amp; _xlfn.XLOOKUP(--TRIM(P$3),--Mapping!$D$2:$D$9,Mapping!$E$2:$E$9) &amp; "_" &amp; $C13 &amp; ": return " &amp; "{" &amp; _xlfn.TEXTJOIN(", ", TRUE, _xlfn.XLOOKUP(--TRIM(P13:S13), --Mapping!$A$2:$A$6, Mapping!$B$2:$B$6)) &amp; "}" &amp; "; //  " &amp; P13 &amp; ",  "  &amp; Q13 &amp; ",  "  &amp; R13 &amp; ",  "  &amp; S13</f>
        <v>9'b111_001001: return {3'b110, 3'b001, 3'b000, 3'b110}; //  -2,  +1,  0,  -2</v>
      </c>
    </row>
    <row r="14" spans="1:23" x14ac:dyDescent="0.25">
      <c r="A14" s="1" t="s">
        <v>205</v>
      </c>
      <c r="B14" s="1" t="s">
        <v>108</v>
      </c>
      <c r="C14" s="1" t="s">
        <v>122</v>
      </c>
      <c r="D14" s="1" t="s">
        <v>110</v>
      </c>
      <c r="E14" s="1" t="s">
        <v>112</v>
      </c>
      <c r="F14" s="1" t="s">
        <v>110</v>
      </c>
      <c r="G14" s="1" t="s">
        <v>114</v>
      </c>
      <c r="H14" s="1" t="s">
        <v>110</v>
      </c>
      <c r="I14" s="1" t="s">
        <v>112</v>
      </c>
      <c r="J14" s="1" t="s">
        <v>102</v>
      </c>
      <c r="K14" s="1" t="s">
        <v>112</v>
      </c>
      <c r="L14" s="1" t="s">
        <v>110</v>
      </c>
      <c r="M14" s="1" t="s">
        <v>114</v>
      </c>
      <c r="N14" s="1" t="s">
        <v>102</v>
      </c>
      <c r="O14" s="1" t="s">
        <v>114</v>
      </c>
      <c r="P14" s="1" t="s">
        <v>110</v>
      </c>
      <c r="Q14" s="1" t="s">
        <v>114</v>
      </c>
      <c r="R14" s="1" t="s">
        <v>110</v>
      </c>
      <c r="S14" s="1" t="s">
        <v>112</v>
      </c>
      <c r="T14" s="1" t="str" cm="1">
        <f t="array" ref="T14">"9'b" &amp; _xlfn.XLOOKUP(TRIM(D$3)&amp;"", Mapping!$D$2:$D$9&amp;"", Mapping!$E$2:$E$9, "NOT_FOUND") &amp; "_" &amp; $C14 &amp; ": return {" &amp; _xlfn.TEXTJOIN(", ", TRUE, _xlfn.XLOOKUP(TRIM(D14:G14)&amp;"", Mapping!$A$2:$A$6&amp;"", Mapping!$B$2:$B$6, "NOT_FOUND")) &amp; "}; //  " &amp; D14 &amp; ",  " &amp; E14 &amp; ",  " &amp; F14 &amp; ",  " &amp; G14</f>
        <v>9'b100_001010: return {3'b000, 3'b110, 3'b000, 3'b111}; //  0,  -2,  0,  -1</v>
      </c>
      <c r="U14" s="1" t="str" cm="1">
        <f t="array" ref="U14">"9'b"&amp; _xlfn.XLOOKUP(--TRIM(H$3),--Mapping!$D$2:$D$9,Mapping!$E$2:$E$9) &amp; "_" &amp; $C14 &amp; ": return " &amp; "{" &amp; _xlfn.TEXTJOIN(", ", TRUE, _xlfn.XLOOKUP(--TRIM(H14:K14), --Mapping!$A$2:$A$6, Mapping!$B$2:$B$6)) &amp; "}" &amp; "; //  " &amp; H14 &amp; ",  "  &amp; I14 &amp; ",  "  &amp; J14 &amp; ",  "  &amp; K14</f>
        <v>9'b110_001010: return {3'b000, 3'b110, 3'b001, 3'b110}; //  0,  -2,  +1,  -2</v>
      </c>
      <c r="V14" s="1" t="str" cm="1">
        <f t="array" ref="V14">"9'b"&amp; _xlfn.XLOOKUP(--TRIM(L$3),--Mapping!$D$2:$D$9,Mapping!$E$2:$E$9) &amp; "_" &amp; $C14 &amp; ": return " &amp; "{" &amp; _xlfn.TEXTJOIN(", ", TRUE, _xlfn.XLOOKUP(--TRIM(L14:O14), --Mapping!$A$2:$A$6, Mapping!$B$2:$B$6)) &amp; "}" &amp; "; //  " &amp; L14 &amp; ",  "  &amp; M14 &amp; ",  "  &amp; N14 &amp; ",  "  &amp; O14</f>
        <v>9'b101_001010: return {3'b000, 3'b111, 3'b001, 3'b111}; //  0,  -1,  +1,  -1</v>
      </c>
      <c r="W14" s="1" t="str" cm="1">
        <f t="array" ref="W14">"9'b"&amp; _xlfn.XLOOKUP(--TRIM(P$3),--Mapping!$D$2:$D$9,Mapping!$E$2:$E$9) &amp; "_" &amp; $C14 &amp; ": return " &amp; "{" &amp; _xlfn.TEXTJOIN(", ", TRUE, _xlfn.XLOOKUP(--TRIM(P14:S14), --Mapping!$A$2:$A$6, Mapping!$B$2:$B$6)) &amp; "}" &amp; "; //  " &amp; P14 &amp; ",  "  &amp; Q14 &amp; ",  "  &amp; R14 &amp; ",  "  &amp; S14</f>
        <v>9'b111_001010: return {3'b000, 3'b111, 3'b000, 3'b110}; //  0,  -1,  0,  -2</v>
      </c>
    </row>
    <row r="15" spans="1:23" x14ac:dyDescent="0.25">
      <c r="A15" s="1" t="s">
        <v>206</v>
      </c>
      <c r="B15" s="1" t="s">
        <v>108</v>
      </c>
      <c r="C15" s="1" t="s">
        <v>123</v>
      </c>
      <c r="D15" s="1" t="s">
        <v>112</v>
      </c>
      <c r="E15" s="1" t="s">
        <v>112</v>
      </c>
      <c r="F15" s="1" t="s">
        <v>110</v>
      </c>
      <c r="G15" s="1" t="s">
        <v>114</v>
      </c>
      <c r="H15" s="1" t="s">
        <v>112</v>
      </c>
      <c r="I15" s="1" t="s">
        <v>112</v>
      </c>
      <c r="J15" s="1" t="s">
        <v>102</v>
      </c>
      <c r="K15" s="1" t="s">
        <v>112</v>
      </c>
      <c r="L15" s="1" t="s">
        <v>112</v>
      </c>
      <c r="M15" s="1" t="s">
        <v>114</v>
      </c>
      <c r="N15" s="1" t="s">
        <v>102</v>
      </c>
      <c r="O15" s="1" t="s">
        <v>114</v>
      </c>
      <c r="P15" s="1" t="s">
        <v>112</v>
      </c>
      <c r="Q15" s="1" t="s">
        <v>114</v>
      </c>
      <c r="R15" s="1" t="s">
        <v>110</v>
      </c>
      <c r="S15" s="1" t="s">
        <v>112</v>
      </c>
      <c r="T15" s="1" t="str" cm="1">
        <f t="array" ref="T15">"9'b" &amp; _xlfn.XLOOKUP(TRIM(D$3)&amp;"", Mapping!$D$2:$D$9&amp;"", Mapping!$E$2:$E$9, "NOT_FOUND") &amp; "_" &amp; $C15 &amp; ": return {" &amp; _xlfn.TEXTJOIN(", ", TRUE, _xlfn.XLOOKUP(TRIM(D15:G15)&amp;"", Mapping!$A$2:$A$6&amp;"", Mapping!$B$2:$B$6, "NOT_FOUND")) &amp; "}; //  " &amp; D15 &amp; ",  " &amp; E15 &amp; ",  " &amp; F15 &amp; ",  " &amp; G15</f>
        <v>9'b100_001011: return {3'b110, 3'b110, 3'b000, 3'b111}; //  -2,  -2,  0,  -1</v>
      </c>
      <c r="U15" s="1" t="str" cm="1">
        <f t="array" ref="U15">"9'b"&amp; _xlfn.XLOOKUP(--TRIM(H$3),--Mapping!$D$2:$D$9,Mapping!$E$2:$E$9) &amp; "_" &amp; $C15 &amp; ": return " &amp; "{" &amp; _xlfn.TEXTJOIN(", ", TRUE, _xlfn.XLOOKUP(--TRIM(H15:K15), --Mapping!$A$2:$A$6, Mapping!$B$2:$B$6)) &amp; "}" &amp; "; //  " &amp; H15 &amp; ",  "  &amp; I15 &amp; ",  "  &amp; J15 &amp; ",  "  &amp; K15</f>
        <v>9'b110_001011: return {3'b110, 3'b110, 3'b001, 3'b110}; //  -2,  -2,  +1,  -2</v>
      </c>
      <c r="V15" s="1" t="str" cm="1">
        <f t="array" ref="V15">"9'b"&amp; _xlfn.XLOOKUP(--TRIM(L$3),--Mapping!$D$2:$D$9,Mapping!$E$2:$E$9) &amp; "_" &amp; $C15 &amp; ": return " &amp; "{" &amp; _xlfn.TEXTJOIN(", ", TRUE, _xlfn.XLOOKUP(--TRIM(L15:O15), --Mapping!$A$2:$A$6, Mapping!$B$2:$B$6)) &amp; "}" &amp; "; //  " &amp; L15 &amp; ",  "  &amp; M15 &amp; ",  "  &amp; N15 &amp; ",  "  &amp; O15</f>
        <v>9'b101_001011: return {3'b110, 3'b111, 3'b001, 3'b111}; //  -2,  -1,  +1,  -1</v>
      </c>
      <c r="W15" s="1" t="str" cm="1">
        <f t="array" ref="W15">"9'b"&amp; _xlfn.XLOOKUP(--TRIM(P$3),--Mapping!$D$2:$D$9,Mapping!$E$2:$E$9) &amp; "_" &amp; $C15 &amp; ": return " &amp; "{" &amp; _xlfn.TEXTJOIN(", ", TRUE, _xlfn.XLOOKUP(--TRIM(P15:S15), --Mapping!$A$2:$A$6, Mapping!$B$2:$B$6)) &amp; "}" &amp; "; //  " &amp; P15 &amp; ",  "  &amp; Q15 &amp; ",  "  &amp; R15 &amp; ",  "  &amp; S15</f>
        <v>9'b111_001011: return {3'b110, 3'b111, 3'b000, 3'b110}; //  -2,  -1,  0,  -2</v>
      </c>
    </row>
    <row r="16" spans="1:23" x14ac:dyDescent="0.25">
      <c r="A16" s="1" t="s">
        <v>207</v>
      </c>
      <c r="B16" s="1" t="s">
        <v>108</v>
      </c>
      <c r="C16" s="1" t="s">
        <v>124</v>
      </c>
      <c r="D16" s="1" t="s">
        <v>110</v>
      </c>
      <c r="E16" s="1" t="s">
        <v>110</v>
      </c>
      <c r="F16" s="1" t="s">
        <v>112</v>
      </c>
      <c r="G16" s="1" t="s">
        <v>114</v>
      </c>
      <c r="H16" s="1" t="s">
        <v>110</v>
      </c>
      <c r="I16" s="1" t="s">
        <v>110</v>
      </c>
      <c r="J16" s="1" t="s">
        <v>114</v>
      </c>
      <c r="K16" s="1" t="s">
        <v>112</v>
      </c>
      <c r="L16" s="1" t="s">
        <v>110</v>
      </c>
      <c r="M16" s="1" t="s">
        <v>102</v>
      </c>
      <c r="N16" s="1" t="s">
        <v>114</v>
      </c>
      <c r="O16" s="1" t="s">
        <v>114</v>
      </c>
      <c r="P16" s="1" t="s">
        <v>110</v>
      </c>
      <c r="Q16" s="1" t="s">
        <v>102</v>
      </c>
      <c r="R16" s="1" t="s">
        <v>112</v>
      </c>
      <c r="S16" s="1" t="s">
        <v>112</v>
      </c>
      <c r="T16" s="1" t="str" cm="1">
        <f t="array" ref="T16">"9'b" &amp; _xlfn.XLOOKUP(TRIM(D$3)&amp;"", Mapping!$D$2:$D$9&amp;"", Mapping!$E$2:$E$9, "NOT_FOUND") &amp; "_" &amp; $C16 &amp; ": return {" &amp; _xlfn.TEXTJOIN(", ", TRUE, _xlfn.XLOOKUP(TRIM(D16:G16)&amp;"", Mapping!$A$2:$A$6&amp;"", Mapping!$B$2:$B$6, "NOT_FOUND")) &amp; "}; //  " &amp; D16 &amp; ",  " &amp; E16 &amp; ",  " &amp; F16 &amp; ",  " &amp; G16</f>
        <v>9'b100_001100: return {3'b000, 3'b000, 3'b110, 3'b111}; //  0,  0,  -2,  -1</v>
      </c>
      <c r="U16" s="1" t="str" cm="1">
        <f t="array" ref="U16">"9'b"&amp; _xlfn.XLOOKUP(--TRIM(H$3),--Mapping!$D$2:$D$9,Mapping!$E$2:$E$9) &amp; "_" &amp; $C16 &amp; ": return " &amp; "{" &amp; _xlfn.TEXTJOIN(", ", TRUE, _xlfn.XLOOKUP(--TRIM(H16:K16), --Mapping!$A$2:$A$6, Mapping!$B$2:$B$6)) &amp; "}" &amp; "; //  " &amp; H16 &amp; ",  "  &amp; I16 &amp; ",  "  &amp; J16 &amp; ",  "  &amp; K16</f>
        <v>9'b110_001100: return {3'b000, 3'b000, 3'b111, 3'b110}; //  0,  0,  -1,  -2</v>
      </c>
      <c r="V16" s="1" t="str" cm="1">
        <f t="array" ref="V16">"9'b"&amp; _xlfn.XLOOKUP(--TRIM(L$3),--Mapping!$D$2:$D$9,Mapping!$E$2:$E$9) &amp; "_" &amp; $C16 &amp; ": return " &amp; "{" &amp; _xlfn.TEXTJOIN(", ", TRUE, _xlfn.XLOOKUP(--TRIM(L16:O16), --Mapping!$A$2:$A$6, Mapping!$B$2:$B$6)) &amp; "}" &amp; "; //  " &amp; L16 &amp; ",  "  &amp; M16 &amp; ",  "  &amp; N16 &amp; ",  "  &amp; O16</f>
        <v>9'b101_001100: return {3'b000, 3'b001, 3'b111, 3'b111}; //  0,  +1,  -1,  -1</v>
      </c>
      <c r="W16" s="1" t="str" cm="1">
        <f t="array" ref="W16">"9'b"&amp; _xlfn.XLOOKUP(--TRIM(P$3),--Mapping!$D$2:$D$9,Mapping!$E$2:$E$9) &amp; "_" &amp; $C16 &amp; ": return " &amp; "{" &amp; _xlfn.TEXTJOIN(", ", TRUE, _xlfn.XLOOKUP(--TRIM(P16:S16), --Mapping!$A$2:$A$6, Mapping!$B$2:$B$6)) &amp; "}" &amp; "; //  " &amp; P16 &amp; ",  "  &amp; Q16 &amp; ",  "  &amp; R16 &amp; ",  "  &amp; S16</f>
        <v>9'b111_001100: return {3'b000, 3'b001, 3'b110, 3'b110}; //  0,  +1,  -2,  -2</v>
      </c>
    </row>
    <row r="17" spans="1:23" x14ac:dyDescent="0.25">
      <c r="A17" s="1" t="s">
        <v>208</v>
      </c>
      <c r="B17" s="1" t="s">
        <v>108</v>
      </c>
      <c r="C17" s="1" t="s">
        <v>125</v>
      </c>
      <c r="D17" s="1" t="s">
        <v>112</v>
      </c>
      <c r="E17" s="1" t="s">
        <v>110</v>
      </c>
      <c r="F17" s="1" t="s">
        <v>112</v>
      </c>
      <c r="G17" s="1" t="s">
        <v>114</v>
      </c>
      <c r="H17" s="1" t="s">
        <v>112</v>
      </c>
      <c r="I17" s="1" t="s">
        <v>110</v>
      </c>
      <c r="J17" s="1" t="s">
        <v>114</v>
      </c>
      <c r="K17" s="1" t="s">
        <v>112</v>
      </c>
      <c r="L17" s="1" t="s">
        <v>112</v>
      </c>
      <c r="M17" s="1" t="s">
        <v>102</v>
      </c>
      <c r="N17" s="1" t="s">
        <v>114</v>
      </c>
      <c r="O17" s="1" t="s">
        <v>114</v>
      </c>
      <c r="P17" s="1" t="s">
        <v>112</v>
      </c>
      <c r="Q17" s="1" t="s">
        <v>102</v>
      </c>
      <c r="R17" s="1" t="s">
        <v>112</v>
      </c>
      <c r="S17" s="1" t="s">
        <v>112</v>
      </c>
      <c r="T17" s="1" t="str" cm="1">
        <f t="array" ref="T17">"9'b" &amp; _xlfn.XLOOKUP(TRIM(D$3)&amp;"", Mapping!$D$2:$D$9&amp;"", Mapping!$E$2:$E$9, "NOT_FOUND") &amp; "_" &amp; $C17 &amp; ": return {" &amp; _xlfn.TEXTJOIN(", ", TRUE, _xlfn.XLOOKUP(TRIM(D17:G17)&amp;"", Mapping!$A$2:$A$6&amp;"", Mapping!$B$2:$B$6, "NOT_FOUND")) &amp; "}; //  " &amp; D17 &amp; ",  " &amp; E17 &amp; ",  " &amp; F17 &amp; ",  " &amp; G17</f>
        <v>9'b100_001101: return {3'b110, 3'b000, 3'b110, 3'b111}; //  -2,  0,  -2,  -1</v>
      </c>
      <c r="U17" s="1" t="str" cm="1">
        <f t="array" ref="U17">"9'b"&amp; _xlfn.XLOOKUP(--TRIM(H$3),--Mapping!$D$2:$D$9,Mapping!$E$2:$E$9) &amp; "_" &amp; $C17 &amp; ": return " &amp; "{" &amp; _xlfn.TEXTJOIN(", ", TRUE, _xlfn.XLOOKUP(--TRIM(H17:K17), --Mapping!$A$2:$A$6, Mapping!$B$2:$B$6)) &amp; "}" &amp; "; //  " &amp; H17 &amp; ",  "  &amp; I17 &amp; ",  "  &amp; J17 &amp; ",  "  &amp; K17</f>
        <v>9'b110_001101: return {3'b110, 3'b000, 3'b111, 3'b110}; //  -2,  0,  -1,  -2</v>
      </c>
      <c r="V17" s="1" t="str" cm="1">
        <f t="array" ref="V17">"9'b"&amp; _xlfn.XLOOKUP(--TRIM(L$3),--Mapping!$D$2:$D$9,Mapping!$E$2:$E$9) &amp; "_" &amp; $C17 &amp; ": return " &amp; "{" &amp; _xlfn.TEXTJOIN(", ", TRUE, _xlfn.XLOOKUP(--TRIM(L17:O17), --Mapping!$A$2:$A$6, Mapping!$B$2:$B$6)) &amp; "}" &amp; "; //  " &amp; L17 &amp; ",  "  &amp; M17 &amp; ",  "  &amp; N17 &amp; ",  "  &amp; O17</f>
        <v>9'b101_001101: return {3'b110, 3'b001, 3'b111, 3'b111}; //  -2,  +1,  -1,  -1</v>
      </c>
      <c r="W17" s="1" t="str" cm="1">
        <f t="array" ref="W17">"9'b"&amp; _xlfn.XLOOKUP(--TRIM(P$3),--Mapping!$D$2:$D$9,Mapping!$E$2:$E$9) &amp; "_" &amp; $C17 &amp; ": return " &amp; "{" &amp; _xlfn.TEXTJOIN(", ", TRUE, _xlfn.XLOOKUP(--TRIM(P17:S17), --Mapping!$A$2:$A$6, Mapping!$B$2:$B$6)) &amp; "}" &amp; "; //  " &amp; P17 &amp; ",  "  &amp; Q17 &amp; ",  "  &amp; R17 &amp; ",  "  &amp; S17</f>
        <v>9'b111_001101: return {3'b110, 3'b001, 3'b110, 3'b110}; //  -2,  +1,  -2,  -2</v>
      </c>
    </row>
    <row r="18" spans="1:23" x14ac:dyDescent="0.25">
      <c r="A18" s="1" t="s">
        <v>209</v>
      </c>
      <c r="B18" s="1" t="s">
        <v>108</v>
      </c>
      <c r="C18" s="1" t="s">
        <v>126</v>
      </c>
      <c r="D18" s="1" t="s">
        <v>110</v>
      </c>
      <c r="E18" s="1" t="s">
        <v>112</v>
      </c>
      <c r="F18" s="1" t="s">
        <v>112</v>
      </c>
      <c r="G18" s="1" t="s">
        <v>114</v>
      </c>
      <c r="H18" s="1" t="s">
        <v>110</v>
      </c>
      <c r="I18" s="1" t="s">
        <v>112</v>
      </c>
      <c r="J18" s="1" t="s">
        <v>114</v>
      </c>
      <c r="K18" s="1" t="s">
        <v>112</v>
      </c>
      <c r="L18" s="1" t="s">
        <v>110</v>
      </c>
      <c r="M18" s="1" t="s">
        <v>114</v>
      </c>
      <c r="N18" s="1" t="s">
        <v>114</v>
      </c>
      <c r="O18" s="1" t="s">
        <v>114</v>
      </c>
      <c r="P18" s="1" t="s">
        <v>110</v>
      </c>
      <c r="Q18" s="1" t="s">
        <v>114</v>
      </c>
      <c r="R18" s="1" t="s">
        <v>112</v>
      </c>
      <c r="S18" s="1" t="s">
        <v>112</v>
      </c>
      <c r="T18" s="1" t="str" cm="1">
        <f t="array" ref="T18">"9'b" &amp; _xlfn.XLOOKUP(TRIM(D$3)&amp;"", Mapping!$D$2:$D$9&amp;"", Mapping!$E$2:$E$9, "NOT_FOUND") &amp; "_" &amp; $C18 &amp; ": return {" &amp; _xlfn.TEXTJOIN(", ", TRUE, _xlfn.XLOOKUP(TRIM(D18:G18)&amp;"", Mapping!$A$2:$A$6&amp;"", Mapping!$B$2:$B$6, "NOT_FOUND")) &amp; "}; //  " &amp; D18 &amp; ",  " &amp; E18 &amp; ",  " &amp; F18 &amp; ",  " &amp; G18</f>
        <v>9'b100_001110: return {3'b000, 3'b110, 3'b110, 3'b111}; //  0,  -2,  -2,  -1</v>
      </c>
      <c r="U18" s="1" t="str" cm="1">
        <f t="array" ref="U18">"9'b"&amp; _xlfn.XLOOKUP(--TRIM(H$3),--Mapping!$D$2:$D$9,Mapping!$E$2:$E$9) &amp; "_" &amp; $C18 &amp; ": return " &amp; "{" &amp; _xlfn.TEXTJOIN(", ", TRUE, _xlfn.XLOOKUP(--TRIM(H18:K18), --Mapping!$A$2:$A$6, Mapping!$B$2:$B$6)) &amp; "}" &amp; "; //  " &amp; H18 &amp; ",  "  &amp; I18 &amp; ",  "  &amp; J18 &amp; ",  "  &amp; K18</f>
        <v>9'b110_001110: return {3'b000, 3'b110, 3'b111, 3'b110}; //  0,  -2,  -1,  -2</v>
      </c>
      <c r="V18" s="1" t="str" cm="1">
        <f t="array" ref="V18">"9'b"&amp; _xlfn.XLOOKUP(--TRIM(L$3),--Mapping!$D$2:$D$9,Mapping!$E$2:$E$9) &amp; "_" &amp; $C18 &amp; ": return " &amp; "{" &amp; _xlfn.TEXTJOIN(", ", TRUE, _xlfn.XLOOKUP(--TRIM(L18:O18), --Mapping!$A$2:$A$6, Mapping!$B$2:$B$6)) &amp; "}" &amp; "; //  " &amp; L18 &amp; ",  "  &amp; M18 &amp; ",  "  &amp; N18 &amp; ",  "  &amp; O18</f>
        <v>9'b101_001110: return {3'b000, 3'b111, 3'b111, 3'b111}; //  0,  -1,  -1,  -1</v>
      </c>
      <c r="W18" s="1" t="str" cm="1">
        <f t="array" ref="W18">"9'b"&amp; _xlfn.XLOOKUP(--TRIM(P$3),--Mapping!$D$2:$D$9,Mapping!$E$2:$E$9) &amp; "_" &amp; $C18 &amp; ": return " &amp; "{" &amp; _xlfn.TEXTJOIN(", ", TRUE, _xlfn.XLOOKUP(--TRIM(P18:S18), --Mapping!$A$2:$A$6, Mapping!$B$2:$B$6)) &amp; "}" &amp; "; //  " &amp; P18 &amp; ",  "  &amp; Q18 &amp; ",  "  &amp; R18 &amp; ",  "  &amp; S18</f>
        <v>9'b111_001110: return {3'b000, 3'b111, 3'b110, 3'b110}; //  0,  -1,  -2,  -2</v>
      </c>
    </row>
    <row r="19" spans="1:23" x14ac:dyDescent="0.25">
      <c r="A19" s="1" t="s">
        <v>210</v>
      </c>
      <c r="B19" s="1" t="s">
        <v>108</v>
      </c>
      <c r="C19" s="1" t="s">
        <v>127</v>
      </c>
      <c r="D19" s="1" t="s">
        <v>112</v>
      </c>
      <c r="E19" s="1" t="s">
        <v>112</v>
      </c>
      <c r="F19" s="1" t="s">
        <v>112</v>
      </c>
      <c r="G19" s="1" t="s">
        <v>114</v>
      </c>
      <c r="H19" s="1" t="s">
        <v>112</v>
      </c>
      <c r="I19" s="1" t="s">
        <v>112</v>
      </c>
      <c r="J19" s="1" t="s">
        <v>114</v>
      </c>
      <c r="K19" s="1" t="s">
        <v>112</v>
      </c>
      <c r="L19" s="1" t="s">
        <v>112</v>
      </c>
      <c r="M19" s="1" t="s">
        <v>114</v>
      </c>
      <c r="N19" s="1" t="s">
        <v>114</v>
      </c>
      <c r="O19" s="1" t="s">
        <v>114</v>
      </c>
      <c r="P19" s="1" t="s">
        <v>112</v>
      </c>
      <c r="Q19" s="1" t="s">
        <v>114</v>
      </c>
      <c r="R19" s="1" t="s">
        <v>112</v>
      </c>
      <c r="S19" s="1" t="s">
        <v>112</v>
      </c>
      <c r="T19" s="1" t="str" cm="1">
        <f t="array" ref="T19">"9'b" &amp; _xlfn.XLOOKUP(TRIM(D$3)&amp;"", Mapping!$D$2:$D$9&amp;"", Mapping!$E$2:$E$9, "NOT_FOUND") &amp; "_" &amp; $C19 &amp; ": return {" &amp; _xlfn.TEXTJOIN(", ", TRUE, _xlfn.XLOOKUP(TRIM(D19:G19)&amp;"", Mapping!$A$2:$A$6&amp;"", Mapping!$B$2:$B$6, "NOT_FOUND")) &amp; "}; //  " &amp; D19 &amp; ",  " &amp; E19 &amp; ",  " &amp; F19 &amp; ",  " &amp; G19</f>
        <v>9'b100_001111: return {3'b110, 3'b110, 3'b110, 3'b111}; //  -2,  -2,  -2,  -1</v>
      </c>
      <c r="U19" s="1" t="str" cm="1">
        <f t="array" ref="U19">"9'b"&amp; _xlfn.XLOOKUP(--TRIM(H$3),--Mapping!$D$2:$D$9,Mapping!$E$2:$E$9) &amp; "_" &amp; $C19 &amp; ": return " &amp; "{" &amp; _xlfn.TEXTJOIN(", ", TRUE, _xlfn.XLOOKUP(--TRIM(H19:K19), --Mapping!$A$2:$A$6, Mapping!$B$2:$B$6)) &amp; "}" &amp; "; //  " &amp; H19 &amp; ",  "  &amp; I19 &amp; ",  "  &amp; J19 &amp; ",  "  &amp; K19</f>
        <v>9'b110_001111: return {3'b110, 3'b110, 3'b111, 3'b110}; //  -2,  -2,  -1,  -2</v>
      </c>
      <c r="V19" s="1" t="str" cm="1">
        <f t="array" ref="V19">"9'b"&amp; _xlfn.XLOOKUP(--TRIM(L$3),--Mapping!$D$2:$D$9,Mapping!$E$2:$E$9) &amp; "_" &amp; $C19 &amp; ": return " &amp; "{" &amp; _xlfn.TEXTJOIN(", ", TRUE, _xlfn.XLOOKUP(--TRIM(L19:O19), --Mapping!$A$2:$A$6, Mapping!$B$2:$B$6)) &amp; "}" &amp; "; //  " &amp; L19 &amp; ",  "  &amp; M19 &amp; ",  "  &amp; N19 &amp; ",  "  &amp; O19</f>
        <v>9'b101_001111: return {3'b110, 3'b111, 3'b111, 3'b111}; //  -2,  -1,  -1,  -1</v>
      </c>
      <c r="W19" s="1" t="str" cm="1">
        <f t="array" ref="W19">"9'b"&amp; _xlfn.XLOOKUP(--TRIM(P$3),--Mapping!$D$2:$D$9,Mapping!$E$2:$E$9) &amp; "_" &amp; $C19 &amp; ": return " &amp; "{" &amp; _xlfn.TEXTJOIN(", ", TRUE, _xlfn.XLOOKUP(--TRIM(P19:S19), --Mapping!$A$2:$A$6, Mapping!$B$2:$B$6)) &amp; "}" &amp; "; //  " &amp; P19 &amp; ",  "  &amp; Q19 &amp; ",  "  &amp; R19 &amp; ",  "  &amp; S19</f>
        <v>9'b111_001111: return {3'b110, 3'b111, 3'b110, 3'b110}; //  -2,  -1,  -2,  -2</v>
      </c>
    </row>
    <row r="20" spans="1:23" x14ac:dyDescent="0.25">
      <c r="A20" s="1" t="s">
        <v>211</v>
      </c>
      <c r="B20" s="1" t="s">
        <v>108</v>
      </c>
      <c r="C20" s="1" t="s">
        <v>128</v>
      </c>
      <c r="D20" s="1" t="s">
        <v>102</v>
      </c>
      <c r="E20" s="1" t="s">
        <v>102</v>
      </c>
      <c r="F20" s="1" t="s">
        <v>102</v>
      </c>
      <c r="G20" s="1" t="s">
        <v>110</v>
      </c>
      <c r="H20" s="1" t="s">
        <v>102</v>
      </c>
      <c r="I20" s="1" t="s">
        <v>102</v>
      </c>
      <c r="J20" s="1" t="s">
        <v>110</v>
      </c>
      <c r="K20" s="1" t="s">
        <v>102</v>
      </c>
      <c r="L20" s="1" t="s">
        <v>102</v>
      </c>
      <c r="M20" s="1" t="s">
        <v>110</v>
      </c>
      <c r="N20" s="1" t="s">
        <v>110</v>
      </c>
      <c r="O20" s="1" t="s">
        <v>110</v>
      </c>
      <c r="P20" s="1" t="s">
        <v>102</v>
      </c>
      <c r="Q20" s="1" t="s">
        <v>110</v>
      </c>
      <c r="R20" s="1" t="s">
        <v>102</v>
      </c>
      <c r="S20" s="1" t="s">
        <v>102</v>
      </c>
      <c r="T20" s="1" t="str" cm="1">
        <f t="array" ref="T20">"9'b" &amp; _xlfn.XLOOKUP(TRIM(D$3)&amp;"", Mapping!$D$2:$D$9&amp;"", Mapping!$E$2:$E$9, "NOT_FOUND") &amp; "_" &amp; $C20 &amp; ": return {" &amp; _xlfn.TEXTJOIN(", ", TRUE, _xlfn.XLOOKUP(TRIM(D20:G20)&amp;"", Mapping!$A$2:$A$6&amp;"", Mapping!$B$2:$B$6, "NOT_FOUND")) &amp; "}; //  " &amp; D20 &amp; ",  " &amp; E20 &amp; ",  " &amp; F20 &amp; ",  " &amp; G20</f>
        <v>9'b100_010000: return {3'b001, 3'b001, 3'b001, 3'b000}; //  +1,  +1,  +1,  0</v>
      </c>
      <c r="U20" s="1" t="str" cm="1">
        <f t="array" ref="U20">"9'b"&amp; _xlfn.XLOOKUP(--TRIM(H$3),--Mapping!$D$2:$D$9,Mapping!$E$2:$E$9) &amp; "_" &amp; $C20 &amp; ": return " &amp; "{" &amp; _xlfn.TEXTJOIN(", ", TRUE, _xlfn.XLOOKUP(--TRIM(H20:K20), --Mapping!$A$2:$A$6, Mapping!$B$2:$B$6)) &amp; "}" &amp; "; //  " &amp; H20 &amp; ",  "  &amp; I20 &amp; ",  "  &amp; J20 &amp; ",  "  &amp; K20</f>
        <v>9'b110_010000: return {3'b001, 3'b001, 3'b000, 3'b001}; //  +1,  +1,  0,  +1</v>
      </c>
      <c r="V20" s="1" t="str" cm="1">
        <f t="array" ref="V20">"9'b"&amp; _xlfn.XLOOKUP(--TRIM(L$3),--Mapping!$D$2:$D$9,Mapping!$E$2:$E$9) &amp; "_" &amp; $C20 &amp; ": return " &amp; "{" &amp; _xlfn.TEXTJOIN(", ", TRUE, _xlfn.XLOOKUP(--TRIM(L20:O20), --Mapping!$A$2:$A$6, Mapping!$B$2:$B$6)) &amp; "}" &amp; "; //  " &amp; L20 &amp; ",  "  &amp; M20 &amp; ",  "  &amp; N20 &amp; ",  "  &amp; O20</f>
        <v>9'b101_010000: return {3'b001, 3'b000, 3'b000, 3'b000}; //  +1,  0,  0,  0</v>
      </c>
      <c r="W20" s="1" t="str" cm="1">
        <f t="array" ref="W20">"9'b"&amp; _xlfn.XLOOKUP(--TRIM(P$3),--Mapping!$D$2:$D$9,Mapping!$E$2:$E$9) &amp; "_" &amp; $C20 &amp; ": return " &amp; "{" &amp; _xlfn.TEXTJOIN(", ", TRUE, _xlfn.XLOOKUP(--TRIM(P20:S20), --Mapping!$A$2:$A$6, Mapping!$B$2:$B$6)) &amp; "}" &amp; "; //  " &amp; P20 &amp; ",  "  &amp; Q20 &amp; ",  "  &amp; R20 &amp; ",  "  &amp; S20</f>
        <v>9'b111_010000: return {3'b001, 3'b000, 3'b001, 3'b001}; //  +1,  0,  +1,  +1</v>
      </c>
    </row>
    <row r="21" spans="1:23" x14ac:dyDescent="0.25">
      <c r="A21" s="1" t="s">
        <v>212</v>
      </c>
      <c r="B21" s="1" t="s">
        <v>108</v>
      </c>
      <c r="C21" s="1" t="s">
        <v>129</v>
      </c>
      <c r="D21" s="1" t="s">
        <v>114</v>
      </c>
      <c r="E21" s="1" t="s">
        <v>102</v>
      </c>
      <c r="F21" s="1" t="s">
        <v>102</v>
      </c>
      <c r="G21" s="1" t="s">
        <v>110</v>
      </c>
      <c r="H21" s="1" t="s">
        <v>114</v>
      </c>
      <c r="I21" s="1" t="s">
        <v>102</v>
      </c>
      <c r="J21" s="1" t="s">
        <v>110</v>
      </c>
      <c r="K21" s="1" t="s">
        <v>102</v>
      </c>
      <c r="L21" s="1" t="s">
        <v>114</v>
      </c>
      <c r="M21" s="1" t="s">
        <v>110</v>
      </c>
      <c r="N21" s="1" t="s">
        <v>110</v>
      </c>
      <c r="O21" s="1" t="s">
        <v>110</v>
      </c>
      <c r="P21" s="1" t="s">
        <v>114</v>
      </c>
      <c r="Q21" s="1" t="s">
        <v>110</v>
      </c>
      <c r="R21" s="1" t="s">
        <v>102</v>
      </c>
      <c r="S21" s="1" t="s">
        <v>102</v>
      </c>
      <c r="T21" s="1" t="str" cm="1">
        <f t="array" ref="T21">"9'b" &amp; _xlfn.XLOOKUP(TRIM(D$3)&amp;"", Mapping!$D$2:$D$9&amp;"", Mapping!$E$2:$E$9, "NOT_FOUND") &amp; "_" &amp; $C21 &amp; ": return {" &amp; _xlfn.TEXTJOIN(", ", TRUE, _xlfn.XLOOKUP(TRIM(D21:G21)&amp;"", Mapping!$A$2:$A$6&amp;"", Mapping!$B$2:$B$6, "NOT_FOUND")) &amp; "}; //  " &amp; D21 &amp; ",  " &amp; E21 &amp; ",  " &amp; F21 &amp; ",  " &amp; G21</f>
        <v>9'b100_010001: return {3'b111, 3'b001, 3'b001, 3'b000}; //  -1,  +1,  +1,  0</v>
      </c>
      <c r="U21" s="1" t="str" cm="1">
        <f t="array" ref="U21">"9'b"&amp; _xlfn.XLOOKUP(--TRIM(H$3),--Mapping!$D$2:$D$9,Mapping!$E$2:$E$9) &amp; "_" &amp; $C21 &amp; ": return " &amp; "{" &amp; _xlfn.TEXTJOIN(", ", TRUE, _xlfn.XLOOKUP(--TRIM(H21:K21), --Mapping!$A$2:$A$6, Mapping!$B$2:$B$6)) &amp; "}" &amp; "; //  " &amp; H21 &amp; ",  "  &amp; I21 &amp; ",  "  &amp; J21 &amp; ",  "  &amp; K21</f>
        <v>9'b110_010001: return {3'b111, 3'b001, 3'b000, 3'b001}; //  -1,  +1,  0,  +1</v>
      </c>
      <c r="V21" s="1" t="str" cm="1">
        <f t="array" ref="V21">"9'b"&amp; _xlfn.XLOOKUP(--TRIM(L$3),--Mapping!$D$2:$D$9,Mapping!$E$2:$E$9) &amp; "_" &amp; $C21 &amp; ": return " &amp; "{" &amp; _xlfn.TEXTJOIN(", ", TRUE, _xlfn.XLOOKUP(--TRIM(L21:O21), --Mapping!$A$2:$A$6, Mapping!$B$2:$B$6)) &amp; "}" &amp; "; //  " &amp; L21 &amp; ",  "  &amp; M21 &amp; ",  "  &amp; N21 &amp; ",  "  &amp; O21</f>
        <v>9'b101_010001: return {3'b111, 3'b000, 3'b000, 3'b000}; //  -1,  0,  0,  0</v>
      </c>
      <c r="W21" s="1" t="str" cm="1">
        <f t="array" ref="W21">"9'b"&amp; _xlfn.XLOOKUP(--TRIM(P$3),--Mapping!$D$2:$D$9,Mapping!$E$2:$E$9) &amp; "_" &amp; $C21 &amp; ": return " &amp; "{" &amp; _xlfn.TEXTJOIN(", ", TRUE, _xlfn.XLOOKUP(--TRIM(P21:S21), --Mapping!$A$2:$A$6, Mapping!$B$2:$B$6)) &amp; "}" &amp; "; //  " &amp; P21 &amp; ",  "  &amp; Q21 &amp; ",  "  &amp; R21 &amp; ",  "  &amp; S21</f>
        <v>9'b111_010001: return {3'b111, 3'b000, 3'b001, 3'b001}; //  -1,  0,  +1,  +1</v>
      </c>
    </row>
    <row r="22" spans="1:23" x14ac:dyDescent="0.25">
      <c r="A22" s="1" t="s">
        <v>213</v>
      </c>
      <c r="B22" s="1" t="s">
        <v>108</v>
      </c>
      <c r="C22" s="1" t="s">
        <v>130</v>
      </c>
      <c r="D22" s="1" t="s">
        <v>102</v>
      </c>
      <c r="E22" s="1" t="s">
        <v>114</v>
      </c>
      <c r="F22" s="1" t="s">
        <v>102</v>
      </c>
      <c r="G22" s="1" t="s">
        <v>110</v>
      </c>
      <c r="H22" s="1" t="s">
        <v>102</v>
      </c>
      <c r="I22" s="1" t="s">
        <v>114</v>
      </c>
      <c r="J22" s="1" t="s">
        <v>110</v>
      </c>
      <c r="K22" s="1" t="s">
        <v>102</v>
      </c>
      <c r="L22" s="1" t="s">
        <v>102</v>
      </c>
      <c r="M22" s="1" t="s">
        <v>112</v>
      </c>
      <c r="N22" s="1" t="s">
        <v>110</v>
      </c>
      <c r="O22" s="1" t="s">
        <v>110</v>
      </c>
      <c r="P22" s="1" t="s">
        <v>102</v>
      </c>
      <c r="Q22" s="1" t="s">
        <v>112</v>
      </c>
      <c r="R22" s="1" t="s">
        <v>102</v>
      </c>
      <c r="S22" s="1" t="s">
        <v>102</v>
      </c>
      <c r="T22" s="1" t="str" cm="1">
        <f t="array" ref="T22">"9'b" &amp; _xlfn.XLOOKUP(TRIM(D$3)&amp;"", Mapping!$D$2:$D$9&amp;"", Mapping!$E$2:$E$9, "NOT_FOUND") &amp; "_" &amp; $C22 &amp; ": return {" &amp; _xlfn.TEXTJOIN(", ", TRUE, _xlfn.XLOOKUP(TRIM(D22:G22)&amp;"", Mapping!$A$2:$A$6&amp;"", Mapping!$B$2:$B$6, "NOT_FOUND")) &amp; "}; //  " &amp; D22 &amp; ",  " &amp; E22 &amp; ",  " &amp; F22 &amp; ",  " &amp; G22</f>
        <v>9'b100_010010: return {3'b001, 3'b111, 3'b001, 3'b000}; //  +1,  -1,  +1,  0</v>
      </c>
      <c r="U22" s="1" t="str" cm="1">
        <f t="array" ref="U22">"9'b"&amp; _xlfn.XLOOKUP(--TRIM(H$3),--Mapping!$D$2:$D$9,Mapping!$E$2:$E$9) &amp; "_" &amp; $C22 &amp; ": return " &amp; "{" &amp; _xlfn.TEXTJOIN(", ", TRUE, _xlfn.XLOOKUP(--TRIM(H22:K22), --Mapping!$A$2:$A$6, Mapping!$B$2:$B$6)) &amp; "}" &amp; "; //  " &amp; H22 &amp; ",  "  &amp; I22 &amp; ",  "  &amp; J22 &amp; ",  "  &amp; K22</f>
        <v>9'b110_010010: return {3'b001, 3'b111, 3'b000, 3'b001}; //  +1,  -1,  0,  +1</v>
      </c>
      <c r="V22" s="1" t="str" cm="1">
        <f t="array" ref="V22">"9'b"&amp; _xlfn.XLOOKUP(--TRIM(L$3),--Mapping!$D$2:$D$9,Mapping!$E$2:$E$9) &amp; "_" &amp; $C22 &amp; ": return " &amp; "{" &amp; _xlfn.TEXTJOIN(", ", TRUE, _xlfn.XLOOKUP(--TRIM(L22:O22), --Mapping!$A$2:$A$6, Mapping!$B$2:$B$6)) &amp; "}" &amp; "; //  " &amp; L22 &amp; ",  "  &amp; M22 &amp; ",  "  &amp; N22 &amp; ",  "  &amp; O22</f>
        <v>9'b101_010010: return {3'b001, 3'b110, 3'b000, 3'b000}; //  +1,  -2,  0,  0</v>
      </c>
      <c r="W22" s="1" t="str" cm="1">
        <f t="array" ref="W22">"9'b"&amp; _xlfn.XLOOKUP(--TRIM(P$3),--Mapping!$D$2:$D$9,Mapping!$E$2:$E$9) &amp; "_" &amp; $C22 &amp; ": return " &amp; "{" &amp; _xlfn.TEXTJOIN(", ", TRUE, _xlfn.XLOOKUP(--TRIM(P22:S22), --Mapping!$A$2:$A$6, Mapping!$B$2:$B$6)) &amp; "}" &amp; "; //  " &amp; P22 &amp; ",  "  &amp; Q22 &amp; ",  "  &amp; R22 &amp; ",  "  &amp; S22</f>
        <v>9'b111_010010: return {3'b001, 3'b110, 3'b001, 3'b001}; //  +1,  -2,  +1,  +1</v>
      </c>
    </row>
    <row r="23" spans="1:23" x14ac:dyDescent="0.25">
      <c r="A23" s="1" t="s">
        <v>214</v>
      </c>
      <c r="B23" s="1" t="s">
        <v>108</v>
      </c>
      <c r="C23" s="1" t="s">
        <v>131</v>
      </c>
      <c r="D23" s="1" t="s">
        <v>114</v>
      </c>
      <c r="E23" s="1" t="s">
        <v>114</v>
      </c>
      <c r="F23" s="1" t="s">
        <v>102</v>
      </c>
      <c r="G23" s="1" t="s">
        <v>110</v>
      </c>
      <c r="H23" s="1" t="s">
        <v>114</v>
      </c>
      <c r="I23" s="1" t="s">
        <v>114</v>
      </c>
      <c r="J23" s="1" t="s">
        <v>110</v>
      </c>
      <c r="K23" s="1" t="s">
        <v>102</v>
      </c>
      <c r="L23" s="1" t="s">
        <v>114</v>
      </c>
      <c r="M23" s="1" t="s">
        <v>112</v>
      </c>
      <c r="N23" s="1" t="s">
        <v>110</v>
      </c>
      <c r="O23" s="1" t="s">
        <v>110</v>
      </c>
      <c r="P23" s="1" t="s">
        <v>114</v>
      </c>
      <c r="Q23" s="1" t="s">
        <v>112</v>
      </c>
      <c r="R23" s="1" t="s">
        <v>102</v>
      </c>
      <c r="S23" s="1" t="s">
        <v>102</v>
      </c>
      <c r="T23" s="1" t="str" cm="1">
        <f t="array" ref="T23">"9'b" &amp; _xlfn.XLOOKUP(TRIM(D$3)&amp;"", Mapping!$D$2:$D$9&amp;"", Mapping!$E$2:$E$9, "NOT_FOUND") &amp; "_" &amp; $C23 &amp; ": return {" &amp; _xlfn.TEXTJOIN(", ", TRUE, _xlfn.XLOOKUP(TRIM(D23:G23)&amp;"", Mapping!$A$2:$A$6&amp;"", Mapping!$B$2:$B$6, "NOT_FOUND")) &amp; "}; //  " &amp; D23 &amp; ",  " &amp; E23 &amp; ",  " &amp; F23 &amp; ",  " &amp; G23</f>
        <v>9'b100_010011: return {3'b111, 3'b111, 3'b001, 3'b000}; //  -1,  -1,  +1,  0</v>
      </c>
      <c r="U23" s="1" t="str" cm="1">
        <f t="array" ref="U23">"9'b"&amp; _xlfn.XLOOKUP(--TRIM(H$3),--Mapping!$D$2:$D$9,Mapping!$E$2:$E$9) &amp; "_" &amp; $C23 &amp; ": return " &amp; "{" &amp; _xlfn.TEXTJOIN(", ", TRUE, _xlfn.XLOOKUP(--TRIM(H23:K23), --Mapping!$A$2:$A$6, Mapping!$B$2:$B$6)) &amp; "}" &amp; "; //  " &amp; H23 &amp; ",  "  &amp; I23 &amp; ",  "  &amp; J23 &amp; ",  "  &amp; K23</f>
        <v>9'b110_010011: return {3'b111, 3'b111, 3'b000, 3'b001}; //  -1,  -1,  0,  +1</v>
      </c>
      <c r="V23" s="1" t="str" cm="1">
        <f t="array" ref="V23">"9'b"&amp; _xlfn.XLOOKUP(--TRIM(L$3),--Mapping!$D$2:$D$9,Mapping!$E$2:$E$9) &amp; "_" &amp; $C23 &amp; ": return " &amp; "{" &amp; _xlfn.TEXTJOIN(", ", TRUE, _xlfn.XLOOKUP(--TRIM(L23:O23), --Mapping!$A$2:$A$6, Mapping!$B$2:$B$6)) &amp; "}" &amp; "; //  " &amp; L23 &amp; ",  "  &amp; M23 &amp; ",  "  &amp; N23 &amp; ",  "  &amp; O23</f>
        <v>9'b101_010011: return {3'b111, 3'b110, 3'b000, 3'b000}; //  -1,  -2,  0,  0</v>
      </c>
      <c r="W23" s="1" t="str" cm="1">
        <f t="array" ref="W23">"9'b"&amp; _xlfn.XLOOKUP(--TRIM(P$3),--Mapping!$D$2:$D$9,Mapping!$E$2:$E$9) &amp; "_" &amp; $C23 &amp; ": return " &amp; "{" &amp; _xlfn.TEXTJOIN(", ", TRUE, _xlfn.XLOOKUP(--TRIM(P23:S23), --Mapping!$A$2:$A$6, Mapping!$B$2:$B$6)) &amp; "}" &amp; "; //  " &amp; P23 &amp; ",  "  &amp; Q23 &amp; ",  "  &amp; R23 &amp; ",  "  &amp; S23</f>
        <v>9'b111_010011: return {3'b111, 3'b110, 3'b001, 3'b001}; //  -1,  -2,  +1,  +1</v>
      </c>
    </row>
    <row r="24" spans="1:23" x14ac:dyDescent="0.25">
      <c r="A24" s="1" t="s">
        <v>215</v>
      </c>
      <c r="B24" s="1" t="s">
        <v>108</v>
      </c>
      <c r="C24" s="1" t="s">
        <v>132</v>
      </c>
      <c r="D24" s="1" t="s">
        <v>102</v>
      </c>
      <c r="E24" s="1" t="s">
        <v>102</v>
      </c>
      <c r="F24" s="1" t="s">
        <v>114</v>
      </c>
      <c r="G24" s="1" t="s">
        <v>110</v>
      </c>
      <c r="H24" s="1" t="s">
        <v>102</v>
      </c>
      <c r="I24" s="1" t="s">
        <v>102</v>
      </c>
      <c r="J24" s="1" t="s">
        <v>112</v>
      </c>
      <c r="K24" s="1" t="s">
        <v>102</v>
      </c>
      <c r="L24" s="1" t="s">
        <v>102</v>
      </c>
      <c r="M24" s="1" t="s">
        <v>110</v>
      </c>
      <c r="N24" s="1" t="s">
        <v>112</v>
      </c>
      <c r="O24" s="1" t="s">
        <v>110</v>
      </c>
      <c r="P24" s="1" t="s">
        <v>102</v>
      </c>
      <c r="Q24" s="1" t="s">
        <v>110</v>
      </c>
      <c r="R24" s="1" t="s">
        <v>114</v>
      </c>
      <c r="S24" s="1" t="s">
        <v>102</v>
      </c>
      <c r="T24" s="1" t="str" cm="1">
        <f t="array" ref="T24">"9'b" &amp; _xlfn.XLOOKUP(TRIM(D$3)&amp;"", Mapping!$D$2:$D$9&amp;"", Mapping!$E$2:$E$9, "NOT_FOUND") &amp; "_" &amp; $C24 &amp; ": return {" &amp; _xlfn.TEXTJOIN(", ", TRUE, _xlfn.XLOOKUP(TRIM(D24:G24)&amp;"", Mapping!$A$2:$A$6&amp;"", Mapping!$B$2:$B$6, "NOT_FOUND")) &amp; "}; //  " &amp; D24 &amp; ",  " &amp; E24 &amp; ",  " &amp; F24 &amp; ",  " &amp; G24</f>
        <v>9'b100_010100: return {3'b001, 3'b001, 3'b111, 3'b000}; //  +1,  +1,  -1,  0</v>
      </c>
      <c r="U24" s="1" t="str" cm="1">
        <f t="array" ref="U24">"9'b"&amp; _xlfn.XLOOKUP(--TRIM(H$3),--Mapping!$D$2:$D$9,Mapping!$E$2:$E$9) &amp; "_" &amp; $C24 &amp; ": return " &amp; "{" &amp; _xlfn.TEXTJOIN(", ", TRUE, _xlfn.XLOOKUP(--TRIM(H24:K24), --Mapping!$A$2:$A$6, Mapping!$B$2:$B$6)) &amp; "}" &amp; "; //  " &amp; H24 &amp; ",  "  &amp; I24 &amp; ",  "  &amp; J24 &amp; ",  "  &amp; K24</f>
        <v>9'b110_010100: return {3'b001, 3'b001, 3'b110, 3'b001}; //  +1,  +1,  -2,  +1</v>
      </c>
      <c r="V24" s="1" t="str" cm="1">
        <f t="array" ref="V24">"9'b"&amp; _xlfn.XLOOKUP(--TRIM(L$3),--Mapping!$D$2:$D$9,Mapping!$E$2:$E$9) &amp; "_" &amp; $C24 &amp; ": return " &amp; "{" &amp; _xlfn.TEXTJOIN(", ", TRUE, _xlfn.XLOOKUP(--TRIM(L24:O24), --Mapping!$A$2:$A$6, Mapping!$B$2:$B$6)) &amp; "}" &amp; "; //  " &amp; L24 &amp; ",  "  &amp; M24 &amp; ",  "  &amp; N24 &amp; ",  "  &amp; O24</f>
        <v>9'b101_010100: return {3'b001, 3'b000, 3'b110, 3'b000}; //  +1,  0,  -2,  0</v>
      </c>
      <c r="W24" s="1" t="str" cm="1">
        <f t="array" ref="W24">"9'b"&amp; _xlfn.XLOOKUP(--TRIM(P$3),--Mapping!$D$2:$D$9,Mapping!$E$2:$E$9) &amp; "_" &amp; $C24 &amp; ": return " &amp; "{" &amp; _xlfn.TEXTJOIN(", ", TRUE, _xlfn.XLOOKUP(--TRIM(P24:S24), --Mapping!$A$2:$A$6, Mapping!$B$2:$B$6)) &amp; "}" &amp; "; //  " &amp; P24 &amp; ",  "  &amp; Q24 &amp; ",  "  &amp; R24 &amp; ",  "  &amp; S24</f>
        <v>9'b111_010100: return {3'b001, 3'b000, 3'b111, 3'b001}; //  +1,  0,  -1,  +1</v>
      </c>
    </row>
    <row r="25" spans="1:23" x14ac:dyDescent="0.25">
      <c r="A25" s="1" t="s">
        <v>216</v>
      </c>
      <c r="B25" s="1" t="s">
        <v>108</v>
      </c>
      <c r="C25" s="1" t="s">
        <v>133</v>
      </c>
      <c r="D25" s="1" t="s">
        <v>114</v>
      </c>
      <c r="E25" s="1" t="s">
        <v>102</v>
      </c>
      <c r="F25" s="1" t="s">
        <v>114</v>
      </c>
      <c r="G25" s="1" t="s">
        <v>110</v>
      </c>
      <c r="H25" s="1" t="s">
        <v>114</v>
      </c>
      <c r="I25" s="1" t="s">
        <v>102</v>
      </c>
      <c r="J25" s="1" t="s">
        <v>112</v>
      </c>
      <c r="K25" s="1" t="s">
        <v>102</v>
      </c>
      <c r="L25" s="1" t="s">
        <v>114</v>
      </c>
      <c r="M25" s="1" t="s">
        <v>110</v>
      </c>
      <c r="N25" s="1" t="s">
        <v>112</v>
      </c>
      <c r="O25" s="1" t="s">
        <v>110</v>
      </c>
      <c r="P25" s="1" t="s">
        <v>114</v>
      </c>
      <c r="Q25" s="1" t="s">
        <v>110</v>
      </c>
      <c r="R25" s="1" t="s">
        <v>114</v>
      </c>
      <c r="S25" s="1" t="s">
        <v>102</v>
      </c>
      <c r="T25" s="1" t="str" cm="1">
        <f t="array" ref="T25">"9'b" &amp; _xlfn.XLOOKUP(TRIM(D$3)&amp;"", Mapping!$D$2:$D$9&amp;"", Mapping!$E$2:$E$9, "NOT_FOUND") &amp; "_" &amp; $C25 &amp; ": return {" &amp; _xlfn.TEXTJOIN(", ", TRUE, _xlfn.XLOOKUP(TRIM(D25:G25)&amp;"", Mapping!$A$2:$A$6&amp;"", Mapping!$B$2:$B$6, "NOT_FOUND")) &amp; "}; //  " &amp; D25 &amp; ",  " &amp; E25 &amp; ",  " &amp; F25 &amp; ",  " &amp; G25</f>
        <v>9'b100_010101: return {3'b111, 3'b001, 3'b111, 3'b000}; //  -1,  +1,  -1,  0</v>
      </c>
      <c r="U25" s="1" t="str" cm="1">
        <f t="array" ref="U25">"9'b"&amp; _xlfn.XLOOKUP(--TRIM(H$3),--Mapping!$D$2:$D$9,Mapping!$E$2:$E$9) &amp; "_" &amp; $C25 &amp; ": return " &amp; "{" &amp; _xlfn.TEXTJOIN(", ", TRUE, _xlfn.XLOOKUP(--TRIM(H25:K25), --Mapping!$A$2:$A$6, Mapping!$B$2:$B$6)) &amp; "}" &amp; "; //  " &amp; H25 &amp; ",  "  &amp; I25 &amp; ",  "  &amp; J25 &amp; ",  "  &amp; K25</f>
        <v>9'b110_010101: return {3'b111, 3'b001, 3'b110, 3'b001}; //  -1,  +1,  -2,  +1</v>
      </c>
      <c r="V25" s="1" t="str" cm="1">
        <f t="array" ref="V25">"9'b"&amp; _xlfn.XLOOKUP(--TRIM(L$3),--Mapping!$D$2:$D$9,Mapping!$E$2:$E$9) &amp; "_" &amp; $C25 &amp; ": return " &amp; "{" &amp; _xlfn.TEXTJOIN(", ", TRUE, _xlfn.XLOOKUP(--TRIM(L25:O25), --Mapping!$A$2:$A$6, Mapping!$B$2:$B$6)) &amp; "}" &amp; "; //  " &amp; L25 &amp; ",  "  &amp; M25 &amp; ",  "  &amp; N25 &amp; ",  "  &amp; O25</f>
        <v>9'b101_010101: return {3'b111, 3'b000, 3'b110, 3'b000}; //  -1,  0,  -2,  0</v>
      </c>
      <c r="W25" s="1" t="str" cm="1">
        <f t="array" ref="W25">"9'b"&amp; _xlfn.XLOOKUP(--TRIM(P$3),--Mapping!$D$2:$D$9,Mapping!$E$2:$E$9) &amp; "_" &amp; $C25 &amp; ": return " &amp; "{" &amp; _xlfn.TEXTJOIN(", ", TRUE, _xlfn.XLOOKUP(--TRIM(P25:S25), --Mapping!$A$2:$A$6, Mapping!$B$2:$B$6)) &amp; "}" &amp; "; //  " &amp; P25 &amp; ",  "  &amp; Q25 &amp; ",  "  &amp; R25 &amp; ",  "  &amp; S25</f>
        <v>9'b111_010101: return {3'b111, 3'b000, 3'b111, 3'b001}; //  -1,  0,  -1,  +1</v>
      </c>
    </row>
    <row r="26" spans="1:23" x14ac:dyDescent="0.25">
      <c r="A26" s="1" t="s">
        <v>217</v>
      </c>
      <c r="B26" s="1" t="s">
        <v>108</v>
      </c>
      <c r="C26" s="1" t="s">
        <v>134</v>
      </c>
      <c r="D26" s="1" t="s">
        <v>102</v>
      </c>
      <c r="E26" s="1" t="s">
        <v>114</v>
      </c>
      <c r="F26" s="1" t="s">
        <v>114</v>
      </c>
      <c r="G26" s="1" t="s">
        <v>110</v>
      </c>
      <c r="H26" s="1" t="s">
        <v>102</v>
      </c>
      <c r="I26" s="1" t="s">
        <v>114</v>
      </c>
      <c r="J26" s="1" t="s">
        <v>112</v>
      </c>
      <c r="K26" s="1" t="s">
        <v>102</v>
      </c>
      <c r="L26" s="1" t="s">
        <v>102</v>
      </c>
      <c r="M26" s="1" t="s">
        <v>112</v>
      </c>
      <c r="N26" s="1" t="s">
        <v>112</v>
      </c>
      <c r="O26" s="1" t="s">
        <v>110</v>
      </c>
      <c r="P26" s="1" t="s">
        <v>102</v>
      </c>
      <c r="Q26" s="1" t="s">
        <v>112</v>
      </c>
      <c r="R26" s="1" t="s">
        <v>114</v>
      </c>
      <c r="S26" s="1" t="s">
        <v>102</v>
      </c>
      <c r="T26" s="1" t="str" cm="1">
        <f t="array" ref="T26">"9'b" &amp; _xlfn.XLOOKUP(TRIM(D$3)&amp;"", Mapping!$D$2:$D$9&amp;"", Mapping!$E$2:$E$9, "NOT_FOUND") &amp; "_" &amp; $C26 &amp; ": return {" &amp; _xlfn.TEXTJOIN(", ", TRUE, _xlfn.XLOOKUP(TRIM(D26:G26)&amp;"", Mapping!$A$2:$A$6&amp;"", Mapping!$B$2:$B$6, "NOT_FOUND")) &amp; "}; //  " &amp; D26 &amp; ",  " &amp; E26 &amp; ",  " &amp; F26 &amp; ",  " &amp; G26</f>
        <v>9'b100_010110: return {3'b001, 3'b111, 3'b111, 3'b000}; //  +1,  -1,  -1,  0</v>
      </c>
      <c r="U26" s="1" t="str" cm="1">
        <f t="array" ref="U26">"9'b"&amp; _xlfn.XLOOKUP(--TRIM(H$3),--Mapping!$D$2:$D$9,Mapping!$E$2:$E$9) &amp; "_" &amp; $C26 &amp; ": return " &amp; "{" &amp; _xlfn.TEXTJOIN(", ", TRUE, _xlfn.XLOOKUP(--TRIM(H26:K26), --Mapping!$A$2:$A$6, Mapping!$B$2:$B$6)) &amp; "}" &amp; "; //  " &amp; H26 &amp; ",  "  &amp; I26 &amp; ",  "  &amp; J26 &amp; ",  "  &amp; K26</f>
        <v>9'b110_010110: return {3'b001, 3'b111, 3'b110, 3'b001}; //  +1,  -1,  -2,  +1</v>
      </c>
      <c r="V26" s="1" t="str" cm="1">
        <f t="array" ref="V26">"9'b"&amp; _xlfn.XLOOKUP(--TRIM(L$3),--Mapping!$D$2:$D$9,Mapping!$E$2:$E$9) &amp; "_" &amp; $C26 &amp; ": return " &amp; "{" &amp; _xlfn.TEXTJOIN(", ", TRUE, _xlfn.XLOOKUP(--TRIM(L26:O26), --Mapping!$A$2:$A$6, Mapping!$B$2:$B$6)) &amp; "}" &amp; "; //  " &amp; L26 &amp; ",  "  &amp; M26 &amp; ",  "  &amp; N26 &amp; ",  "  &amp; O26</f>
        <v>9'b101_010110: return {3'b001, 3'b110, 3'b110, 3'b000}; //  +1,  -2,  -2,  0</v>
      </c>
      <c r="W26" s="1" t="str" cm="1">
        <f t="array" ref="W26">"9'b"&amp; _xlfn.XLOOKUP(--TRIM(P$3),--Mapping!$D$2:$D$9,Mapping!$E$2:$E$9) &amp; "_" &amp; $C26 &amp; ": return " &amp; "{" &amp; _xlfn.TEXTJOIN(", ", TRUE, _xlfn.XLOOKUP(--TRIM(P26:S26), --Mapping!$A$2:$A$6, Mapping!$B$2:$B$6)) &amp; "}" &amp; "; //  " &amp; P26 &amp; ",  "  &amp; Q26 &amp; ",  "  &amp; R26 &amp; ",  "  &amp; S26</f>
        <v>9'b111_010110: return {3'b001, 3'b110, 3'b111, 3'b001}; //  +1,  -2,  -1,  +1</v>
      </c>
    </row>
    <row r="27" spans="1:23" x14ac:dyDescent="0.25">
      <c r="A27" s="1" t="s">
        <v>218</v>
      </c>
      <c r="B27" s="1" t="s">
        <v>108</v>
      </c>
      <c r="C27" s="1" t="s">
        <v>135</v>
      </c>
      <c r="D27" s="1" t="s">
        <v>114</v>
      </c>
      <c r="E27" s="1" t="s">
        <v>114</v>
      </c>
      <c r="F27" s="1" t="s">
        <v>114</v>
      </c>
      <c r="G27" s="1" t="s">
        <v>110</v>
      </c>
      <c r="H27" s="1" t="s">
        <v>114</v>
      </c>
      <c r="I27" s="1" t="s">
        <v>114</v>
      </c>
      <c r="J27" s="1" t="s">
        <v>112</v>
      </c>
      <c r="K27" s="1" t="s">
        <v>102</v>
      </c>
      <c r="L27" s="1" t="s">
        <v>114</v>
      </c>
      <c r="M27" s="1" t="s">
        <v>112</v>
      </c>
      <c r="N27" s="1" t="s">
        <v>112</v>
      </c>
      <c r="O27" s="1" t="s">
        <v>110</v>
      </c>
      <c r="P27" s="1" t="s">
        <v>114</v>
      </c>
      <c r="Q27" s="1" t="s">
        <v>112</v>
      </c>
      <c r="R27" s="1" t="s">
        <v>114</v>
      </c>
      <c r="S27" s="1" t="s">
        <v>102</v>
      </c>
      <c r="T27" s="1" t="str" cm="1">
        <f t="array" ref="T27">"9'b" &amp; _xlfn.XLOOKUP(TRIM(D$3)&amp;"", Mapping!$D$2:$D$9&amp;"", Mapping!$E$2:$E$9, "NOT_FOUND") &amp; "_" &amp; $C27 &amp; ": return {" &amp; _xlfn.TEXTJOIN(", ", TRUE, _xlfn.XLOOKUP(TRIM(D27:G27)&amp;"", Mapping!$A$2:$A$6&amp;"", Mapping!$B$2:$B$6, "NOT_FOUND")) &amp; "}; //  " &amp; D27 &amp; ",  " &amp; E27 &amp; ",  " &amp; F27 &amp; ",  " &amp; G27</f>
        <v>9'b100_010111: return {3'b111, 3'b111, 3'b111, 3'b000}; //  -1,  -1,  -1,  0</v>
      </c>
      <c r="U27" s="1" t="str" cm="1">
        <f t="array" ref="U27">"9'b"&amp; _xlfn.XLOOKUP(--TRIM(H$3),--Mapping!$D$2:$D$9,Mapping!$E$2:$E$9) &amp; "_" &amp; $C27 &amp; ": return " &amp; "{" &amp; _xlfn.TEXTJOIN(", ", TRUE, _xlfn.XLOOKUP(--TRIM(H27:K27), --Mapping!$A$2:$A$6, Mapping!$B$2:$B$6)) &amp; "}" &amp; "; //  " &amp; H27 &amp; ",  "  &amp; I27 &amp; ",  "  &amp; J27 &amp; ",  "  &amp; K27</f>
        <v>9'b110_010111: return {3'b111, 3'b111, 3'b110, 3'b001}; //  -1,  -1,  -2,  +1</v>
      </c>
      <c r="V27" s="1" t="str" cm="1">
        <f t="array" ref="V27">"9'b"&amp; _xlfn.XLOOKUP(--TRIM(L$3),--Mapping!$D$2:$D$9,Mapping!$E$2:$E$9) &amp; "_" &amp; $C27 &amp; ": return " &amp; "{" &amp; _xlfn.TEXTJOIN(", ", TRUE, _xlfn.XLOOKUP(--TRIM(L27:O27), --Mapping!$A$2:$A$6, Mapping!$B$2:$B$6)) &amp; "}" &amp; "; //  " &amp; L27 &amp; ",  "  &amp; M27 &amp; ",  "  &amp; N27 &amp; ",  "  &amp; O27</f>
        <v>9'b101_010111: return {3'b111, 3'b110, 3'b110, 3'b000}; //  -1,  -2,  -2,  0</v>
      </c>
      <c r="W27" s="1" t="str" cm="1">
        <f t="array" ref="W27">"9'b"&amp; _xlfn.XLOOKUP(--TRIM(P$3),--Mapping!$D$2:$D$9,Mapping!$E$2:$E$9) &amp; "_" &amp; $C27 &amp; ": return " &amp; "{" &amp; _xlfn.TEXTJOIN(", ", TRUE, _xlfn.XLOOKUP(--TRIM(P27:S27), --Mapping!$A$2:$A$6, Mapping!$B$2:$B$6)) &amp; "}" &amp; "; //  " &amp; P27 &amp; ",  "  &amp; Q27 &amp; ",  "  &amp; R27 &amp; ",  "  &amp; S27</f>
        <v>9'b111_010111: return {3'b111, 3'b110, 3'b111, 3'b001}; //  -1,  -2,  -1,  +1</v>
      </c>
    </row>
    <row r="28" spans="1:23" x14ac:dyDescent="0.25">
      <c r="A28" s="1" t="s">
        <v>219</v>
      </c>
      <c r="B28" s="1" t="s">
        <v>108</v>
      </c>
      <c r="C28" s="1" t="s">
        <v>136</v>
      </c>
      <c r="D28" s="1" t="s">
        <v>102</v>
      </c>
      <c r="E28" s="1" t="s">
        <v>102</v>
      </c>
      <c r="F28" s="1" t="s">
        <v>102</v>
      </c>
      <c r="G28" s="1" t="s">
        <v>112</v>
      </c>
      <c r="H28" s="1" t="s">
        <v>102</v>
      </c>
      <c r="I28" s="1" t="s">
        <v>102</v>
      </c>
      <c r="J28" s="1" t="s">
        <v>110</v>
      </c>
      <c r="K28" s="1" t="s">
        <v>114</v>
      </c>
      <c r="L28" s="1" t="s">
        <v>102</v>
      </c>
      <c r="M28" s="1" t="s">
        <v>110</v>
      </c>
      <c r="N28" s="1" t="s">
        <v>110</v>
      </c>
      <c r="O28" s="1" t="s">
        <v>112</v>
      </c>
      <c r="P28" s="1" t="s">
        <v>102</v>
      </c>
      <c r="Q28" s="1" t="s">
        <v>110</v>
      </c>
      <c r="R28" s="1" t="s">
        <v>102</v>
      </c>
      <c r="S28" s="1" t="s">
        <v>114</v>
      </c>
      <c r="T28" s="1" t="str" cm="1">
        <f t="array" ref="T28">"9'b" &amp; _xlfn.XLOOKUP(TRIM(D$3)&amp;"", Mapping!$D$2:$D$9&amp;"", Mapping!$E$2:$E$9, "NOT_FOUND") &amp; "_" &amp; $C28 &amp; ": return {" &amp; _xlfn.TEXTJOIN(", ", TRUE, _xlfn.XLOOKUP(TRIM(D28:G28)&amp;"", Mapping!$A$2:$A$6&amp;"", Mapping!$B$2:$B$6, "NOT_FOUND")) &amp; "}; //  " &amp; D28 &amp; ",  " &amp; E28 &amp; ",  " &amp; F28 &amp; ",  " &amp; G28</f>
        <v>9'b100_011000: return {3'b001, 3'b001, 3'b001, 3'b110}; //  +1,  +1,  +1,  -2</v>
      </c>
      <c r="U28" s="1" t="str" cm="1">
        <f t="array" ref="U28">"9'b"&amp; _xlfn.XLOOKUP(--TRIM(H$3),--Mapping!$D$2:$D$9,Mapping!$E$2:$E$9) &amp; "_" &amp; $C28 &amp; ": return " &amp; "{" &amp; _xlfn.TEXTJOIN(", ", TRUE, _xlfn.XLOOKUP(--TRIM(H28:K28), --Mapping!$A$2:$A$6, Mapping!$B$2:$B$6)) &amp; "}" &amp; "; //  " &amp; H28 &amp; ",  "  &amp; I28 &amp; ",  "  &amp; J28 &amp; ",  "  &amp; K28</f>
        <v>9'b110_011000: return {3'b001, 3'b001, 3'b000, 3'b111}; //  +1,  +1,  0,  -1</v>
      </c>
      <c r="V28" s="1" t="str" cm="1">
        <f t="array" ref="V28">"9'b"&amp; _xlfn.XLOOKUP(--TRIM(L$3),--Mapping!$D$2:$D$9,Mapping!$E$2:$E$9) &amp; "_" &amp; $C28 &amp; ": return " &amp; "{" &amp; _xlfn.TEXTJOIN(", ", TRUE, _xlfn.XLOOKUP(--TRIM(L28:O28), --Mapping!$A$2:$A$6, Mapping!$B$2:$B$6)) &amp; "}" &amp; "; //  " &amp; L28 &amp; ",  "  &amp; M28 &amp; ",  "  &amp; N28 &amp; ",  "  &amp; O28</f>
        <v>9'b101_011000: return {3'b001, 3'b000, 3'b000, 3'b110}; //  +1,  0,  0,  -2</v>
      </c>
      <c r="W28" s="1" t="str" cm="1">
        <f t="array" ref="W28">"9'b"&amp; _xlfn.XLOOKUP(--TRIM(P$3),--Mapping!$D$2:$D$9,Mapping!$E$2:$E$9) &amp; "_" &amp; $C28 &amp; ": return " &amp; "{" &amp; _xlfn.TEXTJOIN(", ", TRUE, _xlfn.XLOOKUP(--TRIM(P28:S28), --Mapping!$A$2:$A$6, Mapping!$B$2:$B$6)) &amp; "}" &amp; "; //  " &amp; P28 &amp; ",  "  &amp; Q28 &amp; ",  "  &amp; R28 &amp; ",  "  &amp; S28</f>
        <v>9'b111_011000: return {3'b001, 3'b000, 3'b001, 3'b111}; //  +1,  0,  +1,  -1</v>
      </c>
    </row>
    <row r="29" spans="1:23" x14ac:dyDescent="0.25">
      <c r="A29" s="1" t="s">
        <v>220</v>
      </c>
      <c r="B29" s="1" t="s">
        <v>108</v>
      </c>
      <c r="C29" s="1" t="s">
        <v>137</v>
      </c>
      <c r="D29" s="1" t="s">
        <v>114</v>
      </c>
      <c r="E29" s="1" t="s">
        <v>102</v>
      </c>
      <c r="F29" s="1" t="s">
        <v>102</v>
      </c>
      <c r="G29" s="1" t="s">
        <v>112</v>
      </c>
      <c r="H29" s="1" t="s">
        <v>114</v>
      </c>
      <c r="I29" s="1" t="s">
        <v>102</v>
      </c>
      <c r="J29" s="1" t="s">
        <v>110</v>
      </c>
      <c r="K29" s="1" t="s">
        <v>114</v>
      </c>
      <c r="L29" s="1" t="s">
        <v>114</v>
      </c>
      <c r="M29" s="1" t="s">
        <v>110</v>
      </c>
      <c r="N29" s="1" t="s">
        <v>110</v>
      </c>
      <c r="O29" s="1" t="s">
        <v>112</v>
      </c>
      <c r="P29" s="1" t="s">
        <v>114</v>
      </c>
      <c r="Q29" s="1" t="s">
        <v>110</v>
      </c>
      <c r="R29" s="1" t="s">
        <v>102</v>
      </c>
      <c r="S29" s="1" t="s">
        <v>114</v>
      </c>
      <c r="T29" s="1" t="str" cm="1">
        <f t="array" ref="T29">"9'b" &amp; _xlfn.XLOOKUP(TRIM(D$3)&amp;"", Mapping!$D$2:$D$9&amp;"", Mapping!$E$2:$E$9, "NOT_FOUND") &amp; "_" &amp; $C29 &amp; ": return {" &amp; _xlfn.TEXTJOIN(", ", TRUE, _xlfn.XLOOKUP(TRIM(D29:G29)&amp;"", Mapping!$A$2:$A$6&amp;"", Mapping!$B$2:$B$6, "NOT_FOUND")) &amp; "}; //  " &amp; D29 &amp; ",  " &amp; E29 &amp; ",  " &amp; F29 &amp; ",  " &amp; G29</f>
        <v>9'b100_011001: return {3'b111, 3'b001, 3'b001, 3'b110}; //  -1,  +1,  +1,  -2</v>
      </c>
      <c r="U29" s="1" t="str" cm="1">
        <f t="array" ref="U29">"9'b"&amp; _xlfn.XLOOKUP(--TRIM(H$3),--Mapping!$D$2:$D$9,Mapping!$E$2:$E$9) &amp; "_" &amp; $C29 &amp; ": return " &amp; "{" &amp; _xlfn.TEXTJOIN(", ", TRUE, _xlfn.XLOOKUP(--TRIM(H29:K29), --Mapping!$A$2:$A$6, Mapping!$B$2:$B$6)) &amp; "}" &amp; "; //  " &amp; H29 &amp; ",  "  &amp; I29 &amp; ",  "  &amp; J29 &amp; ",  "  &amp; K29</f>
        <v>9'b110_011001: return {3'b111, 3'b001, 3'b000, 3'b111}; //  -1,  +1,  0,  -1</v>
      </c>
      <c r="V29" s="1" t="str" cm="1">
        <f t="array" ref="V29">"9'b"&amp; _xlfn.XLOOKUP(--TRIM(L$3),--Mapping!$D$2:$D$9,Mapping!$E$2:$E$9) &amp; "_" &amp; $C29 &amp; ": return " &amp; "{" &amp; _xlfn.TEXTJOIN(", ", TRUE, _xlfn.XLOOKUP(--TRIM(L29:O29), --Mapping!$A$2:$A$6, Mapping!$B$2:$B$6)) &amp; "}" &amp; "; //  " &amp; L29 &amp; ",  "  &amp; M29 &amp; ",  "  &amp; N29 &amp; ",  "  &amp; O29</f>
        <v>9'b101_011001: return {3'b111, 3'b000, 3'b000, 3'b110}; //  -1,  0,  0,  -2</v>
      </c>
      <c r="W29" s="1" t="str" cm="1">
        <f t="array" ref="W29">"9'b"&amp; _xlfn.XLOOKUP(--TRIM(P$3),--Mapping!$D$2:$D$9,Mapping!$E$2:$E$9) &amp; "_" &amp; $C29 &amp; ": return " &amp; "{" &amp; _xlfn.TEXTJOIN(", ", TRUE, _xlfn.XLOOKUP(--TRIM(P29:S29), --Mapping!$A$2:$A$6, Mapping!$B$2:$B$6)) &amp; "}" &amp; "; //  " &amp; P29 &amp; ",  "  &amp; Q29 &amp; ",  "  &amp; R29 &amp; ",  "  &amp; S29</f>
        <v>9'b111_011001: return {3'b111, 3'b000, 3'b001, 3'b111}; //  -1,  0,  +1,  -1</v>
      </c>
    </row>
    <row r="30" spans="1:23" x14ac:dyDescent="0.25">
      <c r="A30" s="1" t="s">
        <v>221</v>
      </c>
      <c r="B30" s="1" t="s">
        <v>108</v>
      </c>
      <c r="C30" s="1" t="s">
        <v>138</v>
      </c>
      <c r="D30" s="1" t="s">
        <v>102</v>
      </c>
      <c r="E30" s="1" t="s">
        <v>114</v>
      </c>
      <c r="F30" s="1" t="s">
        <v>102</v>
      </c>
      <c r="G30" s="1" t="s">
        <v>112</v>
      </c>
      <c r="H30" s="1" t="s">
        <v>102</v>
      </c>
      <c r="I30" s="1" t="s">
        <v>114</v>
      </c>
      <c r="J30" s="1" t="s">
        <v>110</v>
      </c>
      <c r="K30" s="1" t="s">
        <v>114</v>
      </c>
      <c r="L30" s="1" t="s">
        <v>102</v>
      </c>
      <c r="M30" s="1" t="s">
        <v>112</v>
      </c>
      <c r="N30" s="1" t="s">
        <v>110</v>
      </c>
      <c r="O30" s="1" t="s">
        <v>112</v>
      </c>
      <c r="P30" s="1" t="s">
        <v>102</v>
      </c>
      <c r="Q30" s="1" t="s">
        <v>112</v>
      </c>
      <c r="R30" s="1" t="s">
        <v>102</v>
      </c>
      <c r="S30" s="1" t="s">
        <v>114</v>
      </c>
      <c r="T30" s="1" t="str" cm="1">
        <f t="array" ref="T30">"9'b" &amp; _xlfn.XLOOKUP(TRIM(D$3)&amp;"", Mapping!$D$2:$D$9&amp;"", Mapping!$E$2:$E$9, "NOT_FOUND") &amp; "_" &amp; $C30 &amp; ": return {" &amp; _xlfn.TEXTJOIN(", ", TRUE, _xlfn.XLOOKUP(TRIM(D30:G30)&amp;"", Mapping!$A$2:$A$6&amp;"", Mapping!$B$2:$B$6, "NOT_FOUND")) &amp; "}; //  " &amp; D30 &amp; ",  " &amp; E30 &amp; ",  " &amp; F30 &amp; ",  " &amp; G30</f>
        <v>9'b100_011010: return {3'b001, 3'b111, 3'b001, 3'b110}; //  +1,  -1,  +1,  -2</v>
      </c>
      <c r="U30" s="1" t="str" cm="1">
        <f t="array" ref="U30">"9'b"&amp; _xlfn.XLOOKUP(--TRIM(H$3),--Mapping!$D$2:$D$9,Mapping!$E$2:$E$9) &amp; "_" &amp; $C30 &amp; ": return " &amp; "{" &amp; _xlfn.TEXTJOIN(", ", TRUE, _xlfn.XLOOKUP(--TRIM(H30:K30), --Mapping!$A$2:$A$6, Mapping!$B$2:$B$6)) &amp; "}" &amp; "; //  " &amp; H30 &amp; ",  "  &amp; I30 &amp; ",  "  &amp; J30 &amp; ",  "  &amp; K30</f>
        <v>9'b110_011010: return {3'b001, 3'b111, 3'b000, 3'b111}; //  +1,  -1,  0,  -1</v>
      </c>
      <c r="V30" s="1" t="str" cm="1">
        <f t="array" ref="V30">"9'b"&amp; _xlfn.XLOOKUP(--TRIM(L$3),--Mapping!$D$2:$D$9,Mapping!$E$2:$E$9) &amp; "_" &amp; $C30 &amp; ": return " &amp; "{" &amp; _xlfn.TEXTJOIN(", ", TRUE, _xlfn.XLOOKUP(--TRIM(L30:O30), --Mapping!$A$2:$A$6, Mapping!$B$2:$B$6)) &amp; "}" &amp; "; //  " &amp; L30 &amp; ",  "  &amp; M30 &amp; ",  "  &amp; N30 &amp; ",  "  &amp; O30</f>
        <v>9'b101_011010: return {3'b001, 3'b110, 3'b000, 3'b110}; //  +1,  -2,  0,  -2</v>
      </c>
      <c r="W30" s="1" t="str" cm="1">
        <f t="array" ref="W30">"9'b"&amp; _xlfn.XLOOKUP(--TRIM(P$3),--Mapping!$D$2:$D$9,Mapping!$E$2:$E$9) &amp; "_" &amp; $C30 &amp; ": return " &amp; "{" &amp; _xlfn.TEXTJOIN(", ", TRUE, _xlfn.XLOOKUP(--TRIM(P30:S30), --Mapping!$A$2:$A$6, Mapping!$B$2:$B$6)) &amp; "}" &amp; "; //  " &amp; P30 &amp; ",  "  &amp; Q30 &amp; ",  "  &amp; R30 &amp; ",  "  &amp; S30</f>
        <v>9'b111_011010: return {3'b001, 3'b110, 3'b001, 3'b111}; //  +1,  -2,  +1,  -1</v>
      </c>
    </row>
    <row r="31" spans="1:23" x14ac:dyDescent="0.25">
      <c r="A31" s="1" t="s">
        <v>222</v>
      </c>
      <c r="B31" s="1" t="s">
        <v>108</v>
      </c>
      <c r="C31" s="1" t="s">
        <v>139</v>
      </c>
      <c r="D31" s="1" t="s">
        <v>114</v>
      </c>
      <c r="E31" s="1" t="s">
        <v>114</v>
      </c>
      <c r="F31" s="1" t="s">
        <v>102</v>
      </c>
      <c r="G31" s="1" t="s">
        <v>112</v>
      </c>
      <c r="H31" s="1" t="s">
        <v>114</v>
      </c>
      <c r="I31" s="1" t="s">
        <v>114</v>
      </c>
      <c r="J31" s="1" t="s">
        <v>110</v>
      </c>
      <c r="K31" s="1" t="s">
        <v>114</v>
      </c>
      <c r="L31" s="1" t="s">
        <v>114</v>
      </c>
      <c r="M31" s="1" t="s">
        <v>112</v>
      </c>
      <c r="N31" s="1" t="s">
        <v>110</v>
      </c>
      <c r="O31" s="1" t="s">
        <v>112</v>
      </c>
      <c r="P31" s="1" t="s">
        <v>114</v>
      </c>
      <c r="Q31" s="1" t="s">
        <v>112</v>
      </c>
      <c r="R31" s="1" t="s">
        <v>102</v>
      </c>
      <c r="S31" s="1" t="s">
        <v>114</v>
      </c>
      <c r="T31" s="1" t="str" cm="1">
        <f t="array" ref="T31">"9'b" &amp; _xlfn.XLOOKUP(TRIM(D$3)&amp;"", Mapping!$D$2:$D$9&amp;"", Mapping!$E$2:$E$9, "NOT_FOUND") &amp; "_" &amp; $C31 &amp; ": return {" &amp; _xlfn.TEXTJOIN(", ", TRUE, _xlfn.XLOOKUP(TRIM(D31:G31)&amp;"", Mapping!$A$2:$A$6&amp;"", Mapping!$B$2:$B$6, "NOT_FOUND")) &amp; "}; //  " &amp; D31 &amp; ",  " &amp; E31 &amp; ",  " &amp; F31 &amp; ",  " &amp; G31</f>
        <v>9'b100_011011: return {3'b111, 3'b111, 3'b001, 3'b110}; //  -1,  -1,  +1,  -2</v>
      </c>
      <c r="U31" s="1" t="str" cm="1">
        <f t="array" ref="U31">"9'b"&amp; _xlfn.XLOOKUP(--TRIM(H$3),--Mapping!$D$2:$D$9,Mapping!$E$2:$E$9) &amp; "_" &amp; $C31 &amp; ": return " &amp; "{" &amp; _xlfn.TEXTJOIN(", ", TRUE, _xlfn.XLOOKUP(--TRIM(H31:K31), --Mapping!$A$2:$A$6, Mapping!$B$2:$B$6)) &amp; "}" &amp; "; //  " &amp; H31 &amp; ",  "  &amp; I31 &amp; ",  "  &amp; J31 &amp; ",  "  &amp; K31</f>
        <v>9'b110_011011: return {3'b111, 3'b111, 3'b000, 3'b111}; //  -1,  -1,  0,  -1</v>
      </c>
      <c r="V31" s="1" t="str" cm="1">
        <f t="array" ref="V31">"9'b"&amp; _xlfn.XLOOKUP(--TRIM(L$3),--Mapping!$D$2:$D$9,Mapping!$E$2:$E$9) &amp; "_" &amp; $C31 &amp; ": return " &amp; "{" &amp; _xlfn.TEXTJOIN(", ", TRUE, _xlfn.XLOOKUP(--TRIM(L31:O31), --Mapping!$A$2:$A$6, Mapping!$B$2:$B$6)) &amp; "}" &amp; "; //  " &amp; L31 &amp; ",  "  &amp; M31 &amp; ",  "  &amp; N31 &amp; ",  "  &amp; O31</f>
        <v>9'b101_011011: return {3'b111, 3'b110, 3'b000, 3'b110}; //  -1,  -2,  0,  -2</v>
      </c>
      <c r="W31" s="1" t="str" cm="1">
        <f t="array" ref="W31">"9'b"&amp; _xlfn.XLOOKUP(--TRIM(P$3),--Mapping!$D$2:$D$9,Mapping!$E$2:$E$9) &amp; "_" &amp; $C31 &amp; ": return " &amp; "{" &amp; _xlfn.TEXTJOIN(", ", TRUE, _xlfn.XLOOKUP(--TRIM(P31:S31), --Mapping!$A$2:$A$6, Mapping!$B$2:$B$6)) &amp; "}" &amp; "; //  " &amp; P31 &amp; ",  "  &amp; Q31 &amp; ",  "  &amp; R31 &amp; ",  "  &amp; S31</f>
        <v>9'b111_011011: return {3'b111, 3'b110, 3'b001, 3'b111}; //  -1,  -2,  +1,  -1</v>
      </c>
    </row>
    <row r="32" spans="1:23" x14ac:dyDescent="0.25">
      <c r="A32" s="1" t="s">
        <v>223</v>
      </c>
      <c r="B32" s="1" t="s">
        <v>108</v>
      </c>
      <c r="C32" s="1" t="s">
        <v>140</v>
      </c>
      <c r="D32" s="1" t="s">
        <v>102</v>
      </c>
      <c r="E32" s="1" t="s">
        <v>102</v>
      </c>
      <c r="F32" s="1" t="s">
        <v>114</v>
      </c>
      <c r="G32" s="1" t="s">
        <v>112</v>
      </c>
      <c r="H32" s="1" t="s">
        <v>102</v>
      </c>
      <c r="I32" s="1" t="s">
        <v>102</v>
      </c>
      <c r="J32" s="1" t="s">
        <v>112</v>
      </c>
      <c r="K32" s="1" t="s">
        <v>114</v>
      </c>
      <c r="L32" s="1" t="s">
        <v>102</v>
      </c>
      <c r="M32" s="1" t="s">
        <v>110</v>
      </c>
      <c r="N32" s="1" t="s">
        <v>112</v>
      </c>
      <c r="O32" s="1" t="s">
        <v>112</v>
      </c>
      <c r="P32" s="1" t="s">
        <v>102</v>
      </c>
      <c r="Q32" s="1" t="s">
        <v>110</v>
      </c>
      <c r="R32" s="1" t="s">
        <v>114</v>
      </c>
      <c r="S32" s="1" t="s">
        <v>114</v>
      </c>
      <c r="T32" s="1" t="str" cm="1">
        <f t="array" ref="T32">"9'b" &amp; _xlfn.XLOOKUP(TRIM(D$3)&amp;"", Mapping!$D$2:$D$9&amp;"", Mapping!$E$2:$E$9, "NOT_FOUND") &amp; "_" &amp; $C32 &amp; ": return {" &amp; _xlfn.TEXTJOIN(", ", TRUE, _xlfn.XLOOKUP(TRIM(D32:G32)&amp;"", Mapping!$A$2:$A$6&amp;"", Mapping!$B$2:$B$6, "NOT_FOUND")) &amp; "}; //  " &amp; D32 &amp; ",  " &amp; E32 &amp; ",  " &amp; F32 &amp; ",  " &amp; G32</f>
        <v>9'b100_011100: return {3'b001, 3'b001, 3'b111, 3'b110}; //  +1,  +1,  -1,  -2</v>
      </c>
      <c r="U32" s="1" t="str" cm="1">
        <f t="array" ref="U32">"9'b"&amp; _xlfn.XLOOKUP(--TRIM(H$3),--Mapping!$D$2:$D$9,Mapping!$E$2:$E$9) &amp; "_" &amp; $C32 &amp; ": return " &amp; "{" &amp; _xlfn.TEXTJOIN(", ", TRUE, _xlfn.XLOOKUP(--TRIM(H32:K32), --Mapping!$A$2:$A$6, Mapping!$B$2:$B$6)) &amp; "}" &amp; "; //  " &amp; H32 &amp; ",  "  &amp; I32 &amp; ",  "  &amp; J32 &amp; ",  "  &amp; K32</f>
        <v>9'b110_011100: return {3'b001, 3'b001, 3'b110, 3'b111}; //  +1,  +1,  -2,  -1</v>
      </c>
      <c r="V32" s="1" t="str" cm="1">
        <f t="array" ref="V32">"9'b"&amp; _xlfn.XLOOKUP(--TRIM(L$3),--Mapping!$D$2:$D$9,Mapping!$E$2:$E$9) &amp; "_" &amp; $C32 &amp; ": return " &amp; "{" &amp; _xlfn.TEXTJOIN(", ", TRUE, _xlfn.XLOOKUP(--TRIM(L32:O32), --Mapping!$A$2:$A$6, Mapping!$B$2:$B$6)) &amp; "}" &amp; "; //  " &amp; L32 &amp; ",  "  &amp; M32 &amp; ",  "  &amp; N32 &amp; ",  "  &amp; O32</f>
        <v>9'b101_011100: return {3'b001, 3'b000, 3'b110, 3'b110}; //  +1,  0,  -2,  -2</v>
      </c>
      <c r="W32" s="1" t="str" cm="1">
        <f t="array" ref="W32">"9'b"&amp; _xlfn.XLOOKUP(--TRIM(P$3),--Mapping!$D$2:$D$9,Mapping!$E$2:$E$9) &amp; "_" &amp; $C32 &amp; ": return " &amp; "{" &amp; _xlfn.TEXTJOIN(", ", TRUE, _xlfn.XLOOKUP(--TRIM(P32:S32), --Mapping!$A$2:$A$6, Mapping!$B$2:$B$6)) &amp; "}" &amp; "; //  " &amp; P32 &amp; ",  "  &amp; Q32 &amp; ",  "  &amp; R32 &amp; ",  "  &amp; S32</f>
        <v>9'b111_011100: return {3'b001, 3'b000, 3'b111, 3'b111}; //  +1,  0,  -1,  -1</v>
      </c>
    </row>
    <row r="33" spans="1:23" x14ac:dyDescent="0.25">
      <c r="A33" s="1" t="s">
        <v>224</v>
      </c>
      <c r="B33" s="1" t="s">
        <v>108</v>
      </c>
      <c r="C33" s="1" t="s">
        <v>141</v>
      </c>
      <c r="D33" s="1" t="s">
        <v>114</v>
      </c>
      <c r="E33" s="1" t="s">
        <v>102</v>
      </c>
      <c r="F33" s="1" t="s">
        <v>114</v>
      </c>
      <c r="G33" s="1" t="s">
        <v>112</v>
      </c>
      <c r="H33" s="1" t="s">
        <v>114</v>
      </c>
      <c r="I33" s="1" t="s">
        <v>102</v>
      </c>
      <c r="J33" s="1" t="s">
        <v>112</v>
      </c>
      <c r="K33" s="1" t="s">
        <v>114</v>
      </c>
      <c r="L33" s="1" t="s">
        <v>114</v>
      </c>
      <c r="M33" s="1" t="s">
        <v>110</v>
      </c>
      <c r="N33" s="1" t="s">
        <v>112</v>
      </c>
      <c r="O33" s="1" t="s">
        <v>112</v>
      </c>
      <c r="P33" s="1" t="s">
        <v>114</v>
      </c>
      <c r="Q33" s="1" t="s">
        <v>110</v>
      </c>
      <c r="R33" s="1" t="s">
        <v>114</v>
      </c>
      <c r="S33" s="1" t="s">
        <v>114</v>
      </c>
      <c r="T33" s="1" t="str" cm="1">
        <f t="array" ref="T33">"9'b" &amp; _xlfn.XLOOKUP(TRIM(D$3)&amp;"", Mapping!$D$2:$D$9&amp;"", Mapping!$E$2:$E$9, "NOT_FOUND") &amp; "_" &amp; $C33 &amp; ": return {" &amp; _xlfn.TEXTJOIN(", ", TRUE, _xlfn.XLOOKUP(TRIM(D33:G33)&amp;"", Mapping!$A$2:$A$6&amp;"", Mapping!$B$2:$B$6, "NOT_FOUND")) &amp; "}; //  " &amp; D33 &amp; ",  " &amp; E33 &amp; ",  " &amp; F33 &amp; ",  " &amp; G33</f>
        <v>9'b100_011101: return {3'b111, 3'b001, 3'b111, 3'b110}; //  -1,  +1,  -1,  -2</v>
      </c>
      <c r="U33" s="1" t="str" cm="1">
        <f t="array" ref="U33">"9'b"&amp; _xlfn.XLOOKUP(--TRIM(H$3),--Mapping!$D$2:$D$9,Mapping!$E$2:$E$9) &amp; "_" &amp; $C33 &amp; ": return " &amp; "{" &amp; _xlfn.TEXTJOIN(", ", TRUE, _xlfn.XLOOKUP(--TRIM(H33:K33), --Mapping!$A$2:$A$6, Mapping!$B$2:$B$6)) &amp; "}" &amp; "; //  " &amp; H33 &amp; ",  "  &amp; I33 &amp; ",  "  &amp; J33 &amp; ",  "  &amp; K33</f>
        <v>9'b110_011101: return {3'b111, 3'b001, 3'b110, 3'b111}; //  -1,  +1,  -2,  -1</v>
      </c>
      <c r="V33" s="1" t="str" cm="1">
        <f t="array" ref="V33">"9'b"&amp; _xlfn.XLOOKUP(--TRIM(L$3),--Mapping!$D$2:$D$9,Mapping!$E$2:$E$9) &amp; "_" &amp; $C33 &amp; ": return " &amp; "{" &amp; _xlfn.TEXTJOIN(", ", TRUE, _xlfn.XLOOKUP(--TRIM(L33:O33), --Mapping!$A$2:$A$6, Mapping!$B$2:$B$6)) &amp; "}" &amp; "; //  " &amp; L33 &amp; ",  "  &amp; M33 &amp; ",  "  &amp; N33 &amp; ",  "  &amp; O33</f>
        <v>9'b101_011101: return {3'b111, 3'b000, 3'b110, 3'b110}; //  -1,  0,  -2,  -2</v>
      </c>
      <c r="W33" s="1" t="str" cm="1">
        <f t="array" ref="W33">"9'b"&amp; _xlfn.XLOOKUP(--TRIM(P$3),--Mapping!$D$2:$D$9,Mapping!$E$2:$E$9) &amp; "_" &amp; $C33 &amp; ": return " &amp; "{" &amp; _xlfn.TEXTJOIN(", ", TRUE, _xlfn.XLOOKUP(--TRIM(P33:S33), --Mapping!$A$2:$A$6, Mapping!$B$2:$B$6)) &amp; "}" &amp; "; //  " &amp; P33 &amp; ",  "  &amp; Q33 &amp; ",  "  &amp; R33 &amp; ",  "  &amp; S33</f>
        <v>9'b111_011101: return {3'b111, 3'b000, 3'b111, 3'b111}; //  -1,  0,  -1,  -1</v>
      </c>
    </row>
    <row r="34" spans="1:23" x14ac:dyDescent="0.25">
      <c r="A34" s="1" t="s">
        <v>225</v>
      </c>
      <c r="B34" s="1" t="s">
        <v>108</v>
      </c>
      <c r="C34" s="1" t="s">
        <v>142</v>
      </c>
      <c r="D34" s="1" t="s">
        <v>102</v>
      </c>
      <c r="E34" s="1" t="s">
        <v>114</v>
      </c>
      <c r="F34" s="1" t="s">
        <v>114</v>
      </c>
      <c r="G34" s="1" t="s">
        <v>112</v>
      </c>
      <c r="H34" s="1" t="s">
        <v>102</v>
      </c>
      <c r="I34" s="1" t="s">
        <v>114</v>
      </c>
      <c r="J34" s="1" t="s">
        <v>112</v>
      </c>
      <c r="K34" s="1" t="s">
        <v>114</v>
      </c>
      <c r="L34" s="1" t="s">
        <v>102</v>
      </c>
      <c r="M34" s="1" t="s">
        <v>112</v>
      </c>
      <c r="N34" s="1" t="s">
        <v>112</v>
      </c>
      <c r="O34" s="1" t="s">
        <v>112</v>
      </c>
      <c r="P34" s="1" t="s">
        <v>102</v>
      </c>
      <c r="Q34" s="1" t="s">
        <v>112</v>
      </c>
      <c r="R34" s="1" t="s">
        <v>114</v>
      </c>
      <c r="S34" s="1" t="s">
        <v>114</v>
      </c>
      <c r="T34" s="1" t="str" cm="1">
        <f t="array" ref="T34">"9'b" &amp; _xlfn.XLOOKUP(TRIM(D$3)&amp;"", Mapping!$D$2:$D$9&amp;"", Mapping!$E$2:$E$9, "NOT_FOUND") &amp; "_" &amp; $C34 &amp; ": return {" &amp; _xlfn.TEXTJOIN(", ", TRUE, _xlfn.XLOOKUP(TRIM(D34:G34)&amp;"", Mapping!$A$2:$A$6&amp;"", Mapping!$B$2:$B$6, "NOT_FOUND")) &amp; "}; //  " &amp; D34 &amp; ",  " &amp; E34 &amp; ",  " &amp; F34 &amp; ",  " &amp; G34</f>
        <v>9'b100_011110: return {3'b001, 3'b111, 3'b111, 3'b110}; //  +1,  -1,  -1,  -2</v>
      </c>
      <c r="U34" s="1" t="str" cm="1">
        <f t="array" ref="U34">"9'b"&amp; _xlfn.XLOOKUP(--TRIM(H$3),--Mapping!$D$2:$D$9,Mapping!$E$2:$E$9) &amp; "_" &amp; $C34 &amp; ": return " &amp; "{" &amp; _xlfn.TEXTJOIN(", ", TRUE, _xlfn.XLOOKUP(--TRIM(H34:K34), --Mapping!$A$2:$A$6, Mapping!$B$2:$B$6)) &amp; "}" &amp; "; //  " &amp; H34 &amp; ",  "  &amp; I34 &amp; ",  "  &amp; J34 &amp; ",  "  &amp; K34</f>
        <v>9'b110_011110: return {3'b001, 3'b111, 3'b110, 3'b111}; //  +1,  -1,  -2,  -1</v>
      </c>
      <c r="V34" s="1" t="str" cm="1">
        <f t="array" ref="V34">"9'b"&amp; _xlfn.XLOOKUP(--TRIM(L$3),--Mapping!$D$2:$D$9,Mapping!$E$2:$E$9) &amp; "_" &amp; $C34 &amp; ": return " &amp; "{" &amp; _xlfn.TEXTJOIN(", ", TRUE, _xlfn.XLOOKUP(--TRIM(L34:O34), --Mapping!$A$2:$A$6, Mapping!$B$2:$B$6)) &amp; "}" &amp; "; //  " &amp; L34 &amp; ",  "  &amp; M34 &amp; ",  "  &amp; N34 &amp; ",  "  &amp; O34</f>
        <v>9'b101_011110: return {3'b001, 3'b110, 3'b110, 3'b110}; //  +1,  -2,  -2,  -2</v>
      </c>
      <c r="W34" s="1" t="str" cm="1">
        <f t="array" ref="W34">"9'b"&amp; _xlfn.XLOOKUP(--TRIM(P$3),--Mapping!$D$2:$D$9,Mapping!$E$2:$E$9) &amp; "_" &amp; $C34 &amp; ": return " &amp; "{" &amp; _xlfn.TEXTJOIN(", ", TRUE, _xlfn.XLOOKUP(--TRIM(P34:S34), --Mapping!$A$2:$A$6, Mapping!$B$2:$B$6)) &amp; "}" &amp; "; //  " &amp; P34 &amp; ",  "  &amp; Q34 &amp; ",  "  &amp; R34 &amp; ",  "  &amp; S34</f>
        <v>9'b111_011110: return {3'b001, 3'b110, 3'b111, 3'b111}; //  +1,  -2,  -1,  -1</v>
      </c>
    </row>
    <row r="35" spans="1:23" x14ac:dyDescent="0.25">
      <c r="A35" s="1" t="s">
        <v>226</v>
      </c>
      <c r="B35" s="1" t="s">
        <v>108</v>
      </c>
      <c r="C35" s="1" t="s">
        <v>143</v>
      </c>
      <c r="D35" s="1" t="s">
        <v>114</v>
      </c>
      <c r="E35" s="1" t="s">
        <v>114</v>
      </c>
      <c r="F35" s="1" t="s">
        <v>114</v>
      </c>
      <c r="G35" s="1" t="s">
        <v>112</v>
      </c>
      <c r="H35" s="1" t="s">
        <v>114</v>
      </c>
      <c r="I35" s="1" t="s">
        <v>114</v>
      </c>
      <c r="J35" s="1" t="s">
        <v>112</v>
      </c>
      <c r="K35" s="1" t="s">
        <v>114</v>
      </c>
      <c r="L35" s="1" t="s">
        <v>114</v>
      </c>
      <c r="M35" s="1" t="s">
        <v>112</v>
      </c>
      <c r="N35" s="1" t="s">
        <v>112</v>
      </c>
      <c r="O35" s="1" t="s">
        <v>112</v>
      </c>
      <c r="P35" s="1" t="s">
        <v>114</v>
      </c>
      <c r="Q35" s="1" t="s">
        <v>112</v>
      </c>
      <c r="R35" s="1" t="s">
        <v>114</v>
      </c>
      <c r="S35" s="1" t="s">
        <v>114</v>
      </c>
      <c r="T35" s="1" t="str" cm="1">
        <f t="array" ref="T35">"9'b" &amp; _xlfn.XLOOKUP(TRIM(D$3)&amp;"", Mapping!$D$2:$D$9&amp;"", Mapping!$E$2:$E$9, "NOT_FOUND") &amp; "_" &amp; $C35 &amp; ": return {" &amp; _xlfn.TEXTJOIN(", ", TRUE, _xlfn.XLOOKUP(TRIM(D35:G35)&amp;"", Mapping!$A$2:$A$6&amp;"", Mapping!$B$2:$B$6, "NOT_FOUND")) &amp; "}; //  " &amp; D35 &amp; ",  " &amp; E35 &amp; ",  " &amp; F35 &amp; ",  " &amp; G35</f>
        <v>9'b100_011111: return {3'b111, 3'b111, 3'b111, 3'b110}; //  -1,  -1,  -1,  -2</v>
      </c>
      <c r="U35" s="1" t="str" cm="1">
        <f t="array" ref="U35">"9'b"&amp; _xlfn.XLOOKUP(--TRIM(H$3),--Mapping!$D$2:$D$9,Mapping!$E$2:$E$9) &amp; "_" &amp; $C35 &amp; ": return " &amp; "{" &amp; _xlfn.TEXTJOIN(", ", TRUE, _xlfn.XLOOKUP(--TRIM(H35:K35), --Mapping!$A$2:$A$6, Mapping!$B$2:$B$6)) &amp; "}" &amp; "; //  " &amp; H35 &amp; ",  "  &amp; I35 &amp; ",  "  &amp; J35 &amp; ",  "  &amp; K35</f>
        <v>9'b110_011111: return {3'b111, 3'b111, 3'b110, 3'b111}; //  -1,  -1,  -2,  -1</v>
      </c>
      <c r="V35" s="1" t="str" cm="1">
        <f t="array" ref="V35">"9'b"&amp; _xlfn.XLOOKUP(--TRIM(L$3),--Mapping!$D$2:$D$9,Mapping!$E$2:$E$9) &amp; "_" &amp; $C35 &amp; ": return " &amp; "{" &amp; _xlfn.TEXTJOIN(", ", TRUE, _xlfn.XLOOKUP(--TRIM(L35:O35), --Mapping!$A$2:$A$6, Mapping!$B$2:$B$6)) &amp; "}" &amp; "; //  " &amp; L35 &amp; ",  "  &amp; M35 &amp; ",  "  &amp; N35 &amp; ",  "  &amp; O35</f>
        <v>9'b101_011111: return {3'b111, 3'b110, 3'b110, 3'b110}; //  -1,  -2,  -2,  -2</v>
      </c>
      <c r="W35" s="1" t="str" cm="1">
        <f t="array" ref="W35">"9'b"&amp; _xlfn.XLOOKUP(--TRIM(P$3),--Mapping!$D$2:$D$9,Mapping!$E$2:$E$9) &amp; "_" &amp; $C35 &amp; ": return " &amp; "{" &amp; _xlfn.TEXTJOIN(", ", TRUE, _xlfn.XLOOKUP(--TRIM(P35:S35), --Mapping!$A$2:$A$6, Mapping!$B$2:$B$6)) &amp; "}" &amp; "; //  " &amp; P35 &amp; ",  "  &amp; Q35 &amp; ",  "  &amp; R35 &amp; ",  "  &amp; S35</f>
        <v>9'b111_011111: return {3'b111, 3'b110, 3'b111, 3'b111}; //  -1,  -2,  -1,  -1</v>
      </c>
    </row>
    <row r="36" spans="1:23" x14ac:dyDescent="0.25">
      <c r="A36" s="1" t="s">
        <v>227</v>
      </c>
      <c r="B36" s="1" t="s">
        <v>108</v>
      </c>
      <c r="C36" s="1" t="s">
        <v>144</v>
      </c>
      <c r="D36" s="1" t="s">
        <v>101</v>
      </c>
      <c r="E36" s="1" t="s">
        <v>110</v>
      </c>
      <c r="F36" s="1" t="s">
        <v>110</v>
      </c>
      <c r="G36" s="1" t="s">
        <v>102</v>
      </c>
      <c r="H36" s="1" t="s">
        <v>101</v>
      </c>
      <c r="I36" s="1" t="s">
        <v>110</v>
      </c>
      <c r="J36" s="1" t="s">
        <v>102</v>
      </c>
      <c r="K36" s="1" t="s">
        <v>110</v>
      </c>
      <c r="L36" s="1" t="s">
        <v>101</v>
      </c>
      <c r="M36" s="1" t="s">
        <v>102</v>
      </c>
      <c r="N36" s="1" t="s">
        <v>102</v>
      </c>
      <c r="O36" s="1" t="s">
        <v>102</v>
      </c>
      <c r="P36" s="1" t="s">
        <v>101</v>
      </c>
      <c r="Q36" s="1" t="s">
        <v>102</v>
      </c>
      <c r="R36" s="1" t="s">
        <v>110</v>
      </c>
      <c r="S36" s="1" t="s">
        <v>110</v>
      </c>
      <c r="T36" s="1" t="str" cm="1">
        <f t="array" ref="T36">"9'b" &amp; _xlfn.XLOOKUP(TRIM(D$3)&amp;"", Mapping!$D$2:$D$9&amp;"", Mapping!$E$2:$E$9, "NOT_FOUND") &amp; "_" &amp; $C36 &amp; ": return {" &amp; _xlfn.TEXTJOIN(", ", TRUE, _xlfn.XLOOKUP(TRIM(D36:G36)&amp;"", Mapping!$A$2:$A$6&amp;"", Mapping!$B$2:$B$6, "NOT_FOUND")) &amp; "}; //  " &amp; D36 &amp; ",  " &amp; E36 &amp; ",  " &amp; F36 &amp; ",  " &amp; G36</f>
        <v>9'b100_100000: return {3'b010, 3'b000, 3'b000, 3'b001}; //  +2,  0,  0,  +1</v>
      </c>
      <c r="U36" s="1" t="str" cm="1">
        <f t="array" ref="U36">"9'b"&amp; _xlfn.XLOOKUP(--TRIM(H$3),--Mapping!$D$2:$D$9,Mapping!$E$2:$E$9) &amp; "_" &amp; $C36 &amp; ": return " &amp; "{" &amp; _xlfn.TEXTJOIN(", ", TRUE, _xlfn.XLOOKUP(--TRIM(H36:K36), --Mapping!$A$2:$A$6, Mapping!$B$2:$B$6)) &amp; "}" &amp; "; //  " &amp; H36 &amp; ",  "  &amp; I36 &amp; ",  "  &amp; J36 &amp; ",  "  &amp; K36</f>
        <v>9'b110_100000: return {3'b010, 3'b000, 3'b001, 3'b000}; //  +2,  0,  +1,  0</v>
      </c>
      <c r="V36" s="1" t="str" cm="1">
        <f t="array" ref="V36">"9'b"&amp; _xlfn.XLOOKUP(--TRIM(L$3),--Mapping!$D$2:$D$9,Mapping!$E$2:$E$9) &amp; "_" &amp; $C36 &amp; ": return " &amp; "{" &amp; _xlfn.TEXTJOIN(", ", TRUE, _xlfn.XLOOKUP(--TRIM(L36:O36), --Mapping!$A$2:$A$6, Mapping!$B$2:$B$6)) &amp; "}" &amp; "; //  " &amp; L36 &amp; ",  "  &amp; M36 &amp; ",  "  &amp; N36 &amp; ",  "  &amp; O36</f>
        <v>9'b101_100000: return {3'b010, 3'b001, 3'b001, 3'b001}; //  +2,  +1,  +1,  +1</v>
      </c>
      <c r="W36" s="1" t="str" cm="1">
        <f t="array" ref="W36">"9'b"&amp; _xlfn.XLOOKUP(--TRIM(P$3),--Mapping!$D$2:$D$9,Mapping!$E$2:$E$9) &amp; "_" &amp; $C36 &amp; ": return " &amp; "{" &amp; _xlfn.TEXTJOIN(", ", TRUE, _xlfn.XLOOKUP(--TRIM(P36:S36), --Mapping!$A$2:$A$6, Mapping!$B$2:$B$6)) &amp; "}" &amp; "; //  " &amp; P36 &amp; ",  "  &amp; Q36 &amp; ",  "  &amp; R36 &amp; ",  "  &amp; S36</f>
        <v>9'b111_100000: return {3'b010, 3'b001, 3'b000, 3'b000}; //  +2,  +1,  0,  0</v>
      </c>
    </row>
    <row r="37" spans="1:23" x14ac:dyDescent="0.25">
      <c r="A37" s="1" t="s">
        <v>228</v>
      </c>
      <c r="B37" s="1" t="s">
        <v>108</v>
      </c>
      <c r="C37" s="1" t="s">
        <v>145</v>
      </c>
      <c r="D37" s="1" t="s">
        <v>101</v>
      </c>
      <c r="E37" s="1" t="s">
        <v>112</v>
      </c>
      <c r="F37" s="1" t="s">
        <v>110</v>
      </c>
      <c r="G37" s="1" t="s">
        <v>102</v>
      </c>
      <c r="H37" s="1" t="s">
        <v>101</v>
      </c>
      <c r="I37" s="1" t="s">
        <v>112</v>
      </c>
      <c r="J37" s="1" t="s">
        <v>102</v>
      </c>
      <c r="K37" s="1" t="s">
        <v>110</v>
      </c>
      <c r="L37" s="1" t="s">
        <v>101</v>
      </c>
      <c r="M37" s="1" t="s">
        <v>114</v>
      </c>
      <c r="N37" s="1" t="s">
        <v>102</v>
      </c>
      <c r="O37" s="1" t="s">
        <v>102</v>
      </c>
      <c r="P37" s="1" t="s">
        <v>101</v>
      </c>
      <c r="Q37" s="1" t="s">
        <v>114</v>
      </c>
      <c r="R37" s="1" t="s">
        <v>110</v>
      </c>
      <c r="S37" s="1" t="s">
        <v>110</v>
      </c>
      <c r="T37" s="1" t="str" cm="1">
        <f t="array" ref="T37">"9'b" &amp; _xlfn.XLOOKUP(TRIM(D$3)&amp;"", Mapping!$D$2:$D$9&amp;"", Mapping!$E$2:$E$9, "NOT_FOUND") &amp; "_" &amp; $C37 &amp; ": return {" &amp; _xlfn.TEXTJOIN(", ", TRUE, _xlfn.XLOOKUP(TRIM(D37:G37)&amp;"", Mapping!$A$2:$A$6&amp;"", Mapping!$B$2:$B$6, "NOT_FOUND")) &amp; "}; //  " &amp; D37 &amp; ",  " &amp; E37 &amp; ",  " &amp; F37 &amp; ",  " &amp; G37</f>
        <v>9'b100_100001: return {3'b010, 3'b110, 3'b000, 3'b001}; //  +2,  -2,  0,  +1</v>
      </c>
      <c r="U37" s="1" t="str" cm="1">
        <f t="array" ref="U37">"9'b"&amp; _xlfn.XLOOKUP(--TRIM(H$3),--Mapping!$D$2:$D$9,Mapping!$E$2:$E$9) &amp; "_" &amp; $C37 &amp; ": return " &amp; "{" &amp; _xlfn.TEXTJOIN(", ", TRUE, _xlfn.XLOOKUP(--TRIM(H37:K37), --Mapping!$A$2:$A$6, Mapping!$B$2:$B$6)) &amp; "}" &amp; "; //  " &amp; H37 &amp; ",  "  &amp; I37 &amp; ",  "  &amp; J37 &amp; ",  "  &amp; K37</f>
        <v>9'b110_100001: return {3'b010, 3'b110, 3'b001, 3'b000}; //  +2,  -2,  +1,  0</v>
      </c>
      <c r="V37" s="1" t="str" cm="1">
        <f t="array" ref="V37">"9'b"&amp; _xlfn.XLOOKUP(--TRIM(L$3),--Mapping!$D$2:$D$9,Mapping!$E$2:$E$9) &amp; "_" &amp; $C37 &amp; ": return " &amp; "{" &amp; _xlfn.TEXTJOIN(", ", TRUE, _xlfn.XLOOKUP(--TRIM(L37:O37), --Mapping!$A$2:$A$6, Mapping!$B$2:$B$6)) &amp; "}" &amp; "; //  " &amp; L37 &amp; ",  "  &amp; M37 &amp; ",  "  &amp; N37 &amp; ",  "  &amp; O37</f>
        <v>9'b101_100001: return {3'b010, 3'b111, 3'b001, 3'b001}; //  +2,  -1,  +1,  +1</v>
      </c>
      <c r="W37" s="1" t="str" cm="1">
        <f t="array" ref="W37">"9'b"&amp; _xlfn.XLOOKUP(--TRIM(P$3),--Mapping!$D$2:$D$9,Mapping!$E$2:$E$9) &amp; "_" &amp; $C37 &amp; ": return " &amp; "{" &amp; _xlfn.TEXTJOIN(", ", TRUE, _xlfn.XLOOKUP(--TRIM(P37:S37), --Mapping!$A$2:$A$6, Mapping!$B$2:$B$6)) &amp; "}" &amp; "; //  " &amp; P37 &amp; ",  "  &amp; Q37 &amp; ",  "  &amp; R37 &amp; ",  "  &amp; S37</f>
        <v>9'b111_100001: return {3'b010, 3'b111, 3'b000, 3'b000}; //  +2,  -1,  0,  0</v>
      </c>
    </row>
    <row r="38" spans="1:23" x14ac:dyDescent="0.25">
      <c r="A38" s="1" t="s">
        <v>229</v>
      </c>
      <c r="B38" s="1" t="s">
        <v>108</v>
      </c>
      <c r="C38" s="1" t="s">
        <v>146</v>
      </c>
      <c r="D38" s="1" t="s">
        <v>101</v>
      </c>
      <c r="E38" s="1" t="s">
        <v>110</v>
      </c>
      <c r="F38" s="1" t="s">
        <v>112</v>
      </c>
      <c r="G38" s="1" t="s">
        <v>102</v>
      </c>
      <c r="H38" s="1" t="s">
        <v>101</v>
      </c>
      <c r="I38" s="1" t="s">
        <v>110</v>
      </c>
      <c r="J38" s="1" t="s">
        <v>114</v>
      </c>
      <c r="K38" s="1" t="s">
        <v>110</v>
      </c>
      <c r="L38" s="1" t="s">
        <v>101</v>
      </c>
      <c r="M38" s="1" t="s">
        <v>102</v>
      </c>
      <c r="N38" s="1" t="s">
        <v>114</v>
      </c>
      <c r="O38" s="1" t="s">
        <v>102</v>
      </c>
      <c r="P38" s="1" t="s">
        <v>101</v>
      </c>
      <c r="Q38" s="1" t="s">
        <v>102</v>
      </c>
      <c r="R38" s="1" t="s">
        <v>112</v>
      </c>
      <c r="S38" s="1" t="s">
        <v>110</v>
      </c>
      <c r="T38" s="1" t="str" cm="1">
        <f t="array" ref="T38">"9'b" &amp; _xlfn.XLOOKUP(TRIM(D$3)&amp;"", Mapping!$D$2:$D$9&amp;"", Mapping!$E$2:$E$9, "NOT_FOUND") &amp; "_" &amp; $C38 &amp; ": return {" &amp; _xlfn.TEXTJOIN(", ", TRUE, _xlfn.XLOOKUP(TRIM(D38:G38)&amp;"", Mapping!$A$2:$A$6&amp;"", Mapping!$B$2:$B$6, "NOT_FOUND")) &amp; "}; //  " &amp; D38 &amp; ",  " &amp; E38 &amp; ",  " &amp; F38 &amp; ",  " &amp; G38</f>
        <v>9'b100_100010: return {3'b010, 3'b000, 3'b110, 3'b001}; //  +2,  0,  -2,  +1</v>
      </c>
      <c r="U38" s="1" t="str" cm="1">
        <f t="array" ref="U38">"9'b"&amp; _xlfn.XLOOKUP(--TRIM(H$3),--Mapping!$D$2:$D$9,Mapping!$E$2:$E$9) &amp; "_" &amp; $C38 &amp; ": return " &amp; "{" &amp; _xlfn.TEXTJOIN(", ", TRUE, _xlfn.XLOOKUP(--TRIM(H38:K38), --Mapping!$A$2:$A$6, Mapping!$B$2:$B$6)) &amp; "}" &amp; "; //  " &amp; H38 &amp; ",  "  &amp; I38 &amp; ",  "  &amp; J38 &amp; ",  "  &amp; K38</f>
        <v>9'b110_100010: return {3'b010, 3'b000, 3'b111, 3'b000}; //  +2,  0,  -1,  0</v>
      </c>
      <c r="V38" s="1" t="str" cm="1">
        <f t="array" ref="V38">"9'b"&amp; _xlfn.XLOOKUP(--TRIM(L$3),--Mapping!$D$2:$D$9,Mapping!$E$2:$E$9) &amp; "_" &amp; $C38 &amp; ": return " &amp; "{" &amp; _xlfn.TEXTJOIN(", ", TRUE, _xlfn.XLOOKUP(--TRIM(L38:O38), --Mapping!$A$2:$A$6, Mapping!$B$2:$B$6)) &amp; "}" &amp; "; //  " &amp; L38 &amp; ",  "  &amp; M38 &amp; ",  "  &amp; N38 &amp; ",  "  &amp; O38</f>
        <v>9'b101_100010: return {3'b010, 3'b001, 3'b111, 3'b001}; //  +2,  +1,  -1,  +1</v>
      </c>
      <c r="W38" s="1" t="str" cm="1">
        <f t="array" ref="W38">"9'b"&amp; _xlfn.XLOOKUP(--TRIM(P$3),--Mapping!$D$2:$D$9,Mapping!$E$2:$E$9) &amp; "_" &amp; $C38 &amp; ": return " &amp; "{" &amp; _xlfn.TEXTJOIN(", ", TRUE, _xlfn.XLOOKUP(--TRIM(P38:S38), --Mapping!$A$2:$A$6, Mapping!$B$2:$B$6)) &amp; "}" &amp; "; //  " &amp; P38 &amp; ",  "  &amp; Q38 &amp; ",  "  &amp; R38 &amp; ",  "  &amp; S38</f>
        <v>9'b111_100010: return {3'b010, 3'b001, 3'b110, 3'b000}; //  +2,  +1,  -2,  0</v>
      </c>
    </row>
    <row r="39" spans="1:23" x14ac:dyDescent="0.25">
      <c r="A39" s="1" t="s">
        <v>230</v>
      </c>
      <c r="B39" s="1" t="s">
        <v>108</v>
      </c>
      <c r="C39" s="1" t="s">
        <v>147</v>
      </c>
      <c r="D39" s="1" t="s">
        <v>101</v>
      </c>
      <c r="E39" s="1" t="s">
        <v>112</v>
      </c>
      <c r="F39" s="1" t="s">
        <v>112</v>
      </c>
      <c r="G39" s="1" t="s">
        <v>102</v>
      </c>
      <c r="H39" s="1" t="s">
        <v>101</v>
      </c>
      <c r="I39" s="1" t="s">
        <v>112</v>
      </c>
      <c r="J39" s="1" t="s">
        <v>114</v>
      </c>
      <c r="K39" s="1" t="s">
        <v>110</v>
      </c>
      <c r="L39" s="1" t="s">
        <v>101</v>
      </c>
      <c r="M39" s="1" t="s">
        <v>114</v>
      </c>
      <c r="N39" s="1" t="s">
        <v>114</v>
      </c>
      <c r="O39" s="1" t="s">
        <v>102</v>
      </c>
      <c r="P39" s="1" t="s">
        <v>101</v>
      </c>
      <c r="Q39" s="1" t="s">
        <v>114</v>
      </c>
      <c r="R39" s="1" t="s">
        <v>112</v>
      </c>
      <c r="S39" s="1" t="s">
        <v>110</v>
      </c>
      <c r="T39" s="1" t="str" cm="1">
        <f t="array" ref="T39">"9'b" &amp; _xlfn.XLOOKUP(TRIM(D$3)&amp;"", Mapping!$D$2:$D$9&amp;"", Mapping!$E$2:$E$9, "NOT_FOUND") &amp; "_" &amp; $C39 &amp; ": return {" &amp; _xlfn.TEXTJOIN(", ", TRUE, _xlfn.XLOOKUP(TRIM(D39:G39)&amp;"", Mapping!$A$2:$A$6&amp;"", Mapping!$B$2:$B$6, "NOT_FOUND")) &amp; "}; //  " &amp; D39 &amp; ",  " &amp; E39 &amp; ",  " &amp; F39 &amp; ",  " &amp; G39</f>
        <v>9'b100_100011: return {3'b010, 3'b110, 3'b110, 3'b001}; //  +2,  -2,  -2,  +1</v>
      </c>
      <c r="U39" s="1" t="str" cm="1">
        <f t="array" ref="U39">"9'b"&amp; _xlfn.XLOOKUP(--TRIM(H$3),--Mapping!$D$2:$D$9,Mapping!$E$2:$E$9) &amp; "_" &amp; $C39 &amp; ": return " &amp; "{" &amp; _xlfn.TEXTJOIN(", ", TRUE, _xlfn.XLOOKUP(--TRIM(H39:K39), --Mapping!$A$2:$A$6, Mapping!$B$2:$B$6)) &amp; "}" &amp; "; //  " &amp; H39 &amp; ",  "  &amp; I39 &amp; ",  "  &amp; J39 &amp; ",  "  &amp; K39</f>
        <v>9'b110_100011: return {3'b010, 3'b110, 3'b111, 3'b000}; //  +2,  -2,  -1,  0</v>
      </c>
      <c r="V39" s="1" t="str" cm="1">
        <f t="array" ref="V39">"9'b"&amp; _xlfn.XLOOKUP(--TRIM(L$3),--Mapping!$D$2:$D$9,Mapping!$E$2:$E$9) &amp; "_" &amp; $C39 &amp; ": return " &amp; "{" &amp; _xlfn.TEXTJOIN(", ", TRUE, _xlfn.XLOOKUP(--TRIM(L39:O39), --Mapping!$A$2:$A$6, Mapping!$B$2:$B$6)) &amp; "}" &amp; "; //  " &amp; L39 &amp; ",  "  &amp; M39 &amp; ",  "  &amp; N39 &amp; ",  "  &amp; O39</f>
        <v>9'b101_100011: return {3'b010, 3'b111, 3'b111, 3'b001}; //  +2,  -1,  -1,  +1</v>
      </c>
      <c r="W39" s="1" t="str" cm="1">
        <f t="array" ref="W39">"9'b"&amp; _xlfn.XLOOKUP(--TRIM(P$3),--Mapping!$D$2:$D$9,Mapping!$E$2:$E$9) &amp; "_" &amp; $C39 &amp; ": return " &amp; "{" &amp; _xlfn.TEXTJOIN(", ", TRUE, _xlfn.XLOOKUP(--TRIM(P39:S39), --Mapping!$A$2:$A$6, Mapping!$B$2:$B$6)) &amp; "}" &amp; "; //  " &amp; P39 &amp; ",  "  &amp; Q39 &amp; ",  "  &amp; R39 &amp; ",  "  &amp; S39</f>
        <v>9'b111_100011: return {3'b010, 3'b111, 3'b110, 3'b000}; //  +2,  -1,  -2,  0</v>
      </c>
    </row>
    <row r="40" spans="1:23" x14ac:dyDescent="0.25">
      <c r="A40" s="1" t="s">
        <v>231</v>
      </c>
      <c r="B40" s="1" t="s">
        <v>108</v>
      </c>
      <c r="C40" s="1" t="s">
        <v>148</v>
      </c>
      <c r="D40" s="1" t="s">
        <v>101</v>
      </c>
      <c r="E40" s="1" t="s">
        <v>110</v>
      </c>
      <c r="F40" s="1" t="s">
        <v>110</v>
      </c>
      <c r="G40" s="1" t="s">
        <v>114</v>
      </c>
      <c r="H40" s="1" t="s">
        <v>101</v>
      </c>
      <c r="I40" s="1" t="s">
        <v>110</v>
      </c>
      <c r="J40" s="1" t="s">
        <v>102</v>
      </c>
      <c r="K40" s="1" t="s">
        <v>112</v>
      </c>
      <c r="L40" s="1" t="s">
        <v>101</v>
      </c>
      <c r="M40" s="1" t="s">
        <v>102</v>
      </c>
      <c r="N40" s="1" t="s">
        <v>102</v>
      </c>
      <c r="O40" s="1" t="s">
        <v>114</v>
      </c>
      <c r="P40" s="1" t="s">
        <v>101</v>
      </c>
      <c r="Q40" s="1" t="s">
        <v>102</v>
      </c>
      <c r="R40" s="1" t="s">
        <v>110</v>
      </c>
      <c r="S40" s="1" t="s">
        <v>112</v>
      </c>
      <c r="T40" s="1" t="str" cm="1">
        <f t="array" ref="T40">"9'b" &amp; _xlfn.XLOOKUP(TRIM(D$3)&amp;"", Mapping!$D$2:$D$9&amp;"", Mapping!$E$2:$E$9, "NOT_FOUND") &amp; "_" &amp; $C40 &amp; ": return {" &amp; _xlfn.TEXTJOIN(", ", TRUE, _xlfn.XLOOKUP(TRIM(D40:G40)&amp;"", Mapping!$A$2:$A$6&amp;"", Mapping!$B$2:$B$6, "NOT_FOUND")) &amp; "}; //  " &amp; D40 &amp; ",  " &amp; E40 &amp; ",  " &amp; F40 &amp; ",  " &amp; G40</f>
        <v>9'b100_100100: return {3'b010, 3'b000, 3'b000, 3'b111}; //  +2,  0,  0,  -1</v>
      </c>
      <c r="U40" s="1" t="str" cm="1">
        <f t="array" ref="U40">"9'b"&amp; _xlfn.XLOOKUP(--TRIM(H$3),--Mapping!$D$2:$D$9,Mapping!$E$2:$E$9) &amp; "_" &amp; $C40 &amp; ": return " &amp; "{" &amp; _xlfn.TEXTJOIN(", ", TRUE, _xlfn.XLOOKUP(--TRIM(H40:K40), --Mapping!$A$2:$A$6, Mapping!$B$2:$B$6)) &amp; "}" &amp; "; //  " &amp; H40 &amp; ",  "  &amp; I40 &amp; ",  "  &amp; J40 &amp; ",  "  &amp; K40</f>
        <v>9'b110_100100: return {3'b010, 3'b000, 3'b001, 3'b110}; //  +2,  0,  +1,  -2</v>
      </c>
      <c r="V40" s="1" t="str" cm="1">
        <f t="array" ref="V40">"9'b"&amp; _xlfn.XLOOKUP(--TRIM(L$3),--Mapping!$D$2:$D$9,Mapping!$E$2:$E$9) &amp; "_" &amp; $C40 &amp; ": return " &amp; "{" &amp; _xlfn.TEXTJOIN(", ", TRUE, _xlfn.XLOOKUP(--TRIM(L40:O40), --Mapping!$A$2:$A$6, Mapping!$B$2:$B$6)) &amp; "}" &amp; "; //  " &amp; L40 &amp; ",  "  &amp; M40 &amp; ",  "  &amp; N40 &amp; ",  "  &amp; O40</f>
        <v>9'b101_100100: return {3'b010, 3'b001, 3'b001, 3'b111}; //  +2,  +1,  +1,  -1</v>
      </c>
      <c r="W40" s="1" t="str" cm="1">
        <f t="array" ref="W40">"9'b"&amp; _xlfn.XLOOKUP(--TRIM(P$3),--Mapping!$D$2:$D$9,Mapping!$E$2:$E$9) &amp; "_" &amp; $C40 &amp; ": return " &amp; "{" &amp; _xlfn.TEXTJOIN(", ", TRUE, _xlfn.XLOOKUP(--TRIM(P40:S40), --Mapping!$A$2:$A$6, Mapping!$B$2:$B$6)) &amp; "}" &amp; "; //  " &amp; P40 &amp; ",  "  &amp; Q40 &amp; ",  "  &amp; R40 &amp; ",  "  &amp; S40</f>
        <v>9'b111_100100: return {3'b010, 3'b001, 3'b000, 3'b110}; //  +2,  +1,  0,  -2</v>
      </c>
    </row>
    <row r="41" spans="1:23" x14ac:dyDescent="0.25">
      <c r="A41" s="1" t="s">
        <v>232</v>
      </c>
      <c r="B41" s="1" t="s">
        <v>108</v>
      </c>
      <c r="C41" s="1" t="s">
        <v>149</v>
      </c>
      <c r="D41" s="1" t="s">
        <v>101</v>
      </c>
      <c r="E41" s="1" t="s">
        <v>112</v>
      </c>
      <c r="F41" s="1" t="s">
        <v>110</v>
      </c>
      <c r="G41" s="1" t="s">
        <v>114</v>
      </c>
      <c r="H41" s="1" t="s">
        <v>101</v>
      </c>
      <c r="I41" s="1" t="s">
        <v>112</v>
      </c>
      <c r="J41" s="1" t="s">
        <v>102</v>
      </c>
      <c r="K41" s="1" t="s">
        <v>112</v>
      </c>
      <c r="L41" s="1" t="s">
        <v>101</v>
      </c>
      <c r="M41" s="1" t="s">
        <v>114</v>
      </c>
      <c r="N41" s="1" t="s">
        <v>102</v>
      </c>
      <c r="O41" s="1" t="s">
        <v>114</v>
      </c>
      <c r="P41" s="1" t="s">
        <v>101</v>
      </c>
      <c r="Q41" s="1" t="s">
        <v>114</v>
      </c>
      <c r="R41" s="1" t="s">
        <v>110</v>
      </c>
      <c r="S41" s="1" t="s">
        <v>112</v>
      </c>
      <c r="T41" s="1" t="str" cm="1">
        <f t="array" ref="T41">"9'b" &amp; _xlfn.XLOOKUP(TRIM(D$3)&amp;"", Mapping!$D$2:$D$9&amp;"", Mapping!$E$2:$E$9, "NOT_FOUND") &amp; "_" &amp; $C41 &amp; ": return {" &amp; _xlfn.TEXTJOIN(", ", TRUE, _xlfn.XLOOKUP(TRIM(D41:G41)&amp;"", Mapping!$A$2:$A$6&amp;"", Mapping!$B$2:$B$6, "NOT_FOUND")) &amp; "}; //  " &amp; D41 &amp; ",  " &amp; E41 &amp; ",  " &amp; F41 &amp; ",  " &amp; G41</f>
        <v>9'b100_100101: return {3'b010, 3'b110, 3'b000, 3'b111}; //  +2,  -2,  0,  -1</v>
      </c>
      <c r="U41" s="1" t="str" cm="1">
        <f t="array" ref="U41">"9'b"&amp; _xlfn.XLOOKUP(--TRIM(H$3),--Mapping!$D$2:$D$9,Mapping!$E$2:$E$9) &amp; "_" &amp; $C41 &amp; ": return " &amp; "{" &amp; _xlfn.TEXTJOIN(", ", TRUE, _xlfn.XLOOKUP(--TRIM(H41:K41), --Mapping!$A$2:$A$6, Mapping!$B$2:$B$6)) &amp; "}" &amp; "; //  " &amp; H41 &amp; ",  "  &amp; I41 &amp; ",  "  &amp; J41 &amp; ",  "  &amp; K41</f>
        <v>9'b110_100101: return {3'b010, 3'b110, 3'b001, 3'b110}; //  +2,  -2,  +1,  -2</v>
      </c>
      <c r="V41" s="1" t="str" cm="1">
        <f t="array" ref="V41">"9'b"&amp; _xlfn.XLOOKUP(--TRIM(L$3),--Mapping!$D$2:$D$9,Mapping!$E$2:$E$9) &amp; "_" &amp; $C41 &amp; ": return " &amp; "{" &amp; _xlfn.TEXTJOIN(", ", TRUE, _xlfn.XLOOKUP(--TRIM(L41:O41), --Mapping!$A$2:$A$6, Mapping!$B$2:$B$6)) &amp; "}" &amp; "; //  " &amp; L41 &amp; ",  "  &amp; M41 &amp; ",  "  &amp; N41 &amp; ",  "  &amp; O41</f>
        <v>9'b101_100101: return {3'b010, 3'b111, 3'b001, 3'b111}; //  +2,  -1,  +1,  -1</v>
      </c>
      <c r="W41" s="1" t="str" cm="1">
        <f t="array" ref="W41">"9'b"&amp; _xlfn.XLOOKUP(--TRIM(P$3),--Mapping!$D$2:$D$9,Mapping!$E$2:$E$9) &amp; "_" &amp; $C41 &amp; ": return " &amp; "{" &amp; _xlfn.TEXTJOIN(", ", TRUE, _xlfn.XLOOKUP(--TRIM(P41:S41), --Mapping!$A$2:$A$6, Mapping!$B$2:$B$6)) &amp; "}" &amp; "; //  " &amp; P41 &amp; ",  "  &amp; Q41 &amp; ",  "  &amp; R41 &amp; ",  "  &amp; S41</f>
        <v>9'b111_100101: return {3'b010, 3'b111, 3'b000, 3'b110}; //  +2,  -1,  0,  -2</v>
      </c>
    </row>
    <row r="42" spans="1:23" x14ac:dyDescent="0.25">
      <c r="A42" s="1" t="s">
        <v>233</v>
      </c>
      <c r="B42" s="1" t="s">
        <v>108</v>
      </c>
      <c r="C42" s="1" t="s">
        <v>150</v>
      </c>
      <c r="D42" s="1" t="s">
        <v>101</v>
      </c>
      <c r="E42" s="1" t="s">
        <v>110</v>
      </c>
      <c r="F42" s="1" t="s">
        <v>112</v>
      </c>
      <c r="G42" s="1" t="s">
        <v>114</v>
      </c>
      <c r="H42" s="1" t="s">
        <v>101</v>
      </c>
      <c r="I42" s="1" t="s">
        <v>110</v>
      </c>
      <c r="J42" s="1" t="s">
        <v>114</v>
      </c>
      <c r="K42" s="1" t="s">
        <v>112</v>
      </c>
      <c r="L42" s="1" t="s">
        <v>101</v>
      </c>
      <c r="M42" s="1" t="s">
        <v>102</v>
      </c>
      <c r="N42" s="1" t="s">
        <v>114</v>
      </c>
      <c r="O42" s="1" t="s">
        <v>114</v>
      </c>
      <c r="P42" s="1" t="s">
        <v>101</v>
      </c>
      <c r="Q42" s="1" t="s">
        <v>102</v>
      </c>
      <c r="R42" s="1" t="s">
        <v>112</v>
      </c>
      <c r="S42" s="1" t="s">
        <v>112</v>
      </c>
      <c r="T42" s="1" t="str" cm="1">
        <f t="array" ref="T42">"9'b" &amp; _xlfn.XLOOKUP(TRIM(D$3)&amp;"", Mapping!$D$2:$D$9&amp;"", Mapping!$E$2:$E$9, "NOT_FOUND") &amp; "_" &amp; $C42 &amp; ": return {" &amp; _xlfn.TEXTJOIN(", ", TRUE, _xlfn.XLOOKUP(TRIM(D42:G42)&amp;"", Mapping!$A$2:$A$6&amp;"", Mapping!$B$2:$B$6, "NOT_FOUND")) &amp; "}; //  " &amp; D42 &amp; ",  " &amp; E42 &amp; ",  " &amp; F42 &amp; ",  " &amp; G42</f>
        <v>9'b100_100110: return {3'b010, 3'b000, 3'b110, 3'b111}; //  +2,  0,  -2,  -1</v>
      </c>
      <c r="U42" s="1" t="str" cm="1">
        <f t="array" ref="U42">"9'b"&amp; _xlfn.XLOOKUP(--TRIM(H$3),--Mapping!$D$2:$D$9,Mapping!$E$2:$E$9) &amp; "_" &amp; $C42 &amp; ": return " &amp; "{" &amp; _xlfn.TEXTJOIN(", ", TRUE, _xlfn.XLOOKUP(--TRIM(H42:K42), --Mapping!$A$2:$A$6, Mapping!$B$2:$B$6)) &amp; "}" &amp; "; //  " &amp; H42 &amp; ",  "  &amp; I42 &amp; ",  "  &amp; J42 &amp; ",  "  &amp; K42</f>
        <v>9'b110_100110: return {3'b010, 3'b000, 3'b111, 3'b110}; //  +2,  0,  -1,  -2</v>
      </c>
      <c r="V42" s="1" t="str" cm="1">
        <f t="array" ref="V42">"9'b"&amp; _xlfn.XLOOKUP(--TRIM(L$3),--Mapping!$D$2:$D$9,Mapping!$E$2:$E$9) &amp; "_" &amp; $C42 &amp; ": return " &amp; "{" &amp; _xlfn.TEXTJOIN(", ", TRUE, _xlfn.XLOOKUP(--TRIM(L42:O42), --Mapping!$A$2:$A$6, Mapping!$B$2:$B$6)) &amp; "}" &amp; "; //  " &amp; L42 &amp; ",  "  &amp; M42 &amp; ",  "  &amp; N42 &amp; ",  "  &amp; O42</f>
        <v>9'b101_100110: return {3'b010, 3'b001, 3'b111, 3'b111}; //  +2,  +1,  -1,  -1</v>
      </c>
      <c r="W42" s="1" t="str" cm="1">
        <f t="array" ref="W42">"9'b"&amp; _xlfn.XLOOKUP(--TRIM(P$3),--Mapping!$D$2:$D$9,Mapping!$E$2:$E$9) &amp; "_" &amp; $C42 &amp; ": return " &amp; "{" &amp; _xlfn.TEXTJOIN(", ", TRUE, _xlfn.XLOOKUP(--TRIM(P42:S42), --Mapping!$A$2:$A$6, Mapping!$B$2:$B$6)) &amp; "}" &amp; "; //  " &amp; P42 &amp; ",  "  &amp; Q42 &amp; ",  "  &amp; R42 &amp; ",  "  &amp; S42</f>
        <v>9'b111_100110: return {3'b010, 3'b001, 3'b110, 3'b110}; //  +2,  +1,  -2,  -2</v>
      </c>
    </row>
    <row r="43" spans="1:23" x14ac:dyDescent="0.25">
      <c r="A43" s="1" t="s">
        <v>234</v>
      </c>
      <c r="B43" s="1" t="s">
        <v>108</v>
      </c>
      <c r="C43" s="1" t="s">
        <v>151</v>
      </c>
      <c r="D43" s="1" t="s">
        <v>101</v>
      </c>
      <c r="E43" s="1" t="s">
        <v>112</v>
      </c>
      <c r="F43" s="1" t="s">
        <v>112</v>
      </c>
      <c r="G43" s="1" t="s">
        <v>114</v>
      </c>
      <c r="H43" s="1" t="s">
        <v>101</v>
      </c>
      <c r="I43" s="1" t="s">
        <v>112</v>
      </c>
      <c r="J43" s="1" t="s">
        <v>114</v>
      </c>
      <c r="K43" s="1" t="s">
        <v>112</v>
      </c>
      <c r="L43" s="1" t="s">
        <v>101</v>
      </c>
      <c r="M43" s="1" t="s">
        <v>114</v>
      </c>
      <c r="N43" s="1" t="s">
        <v>114</v>
      </c>
      <c r="O43" s="1" t="s">
        <v>114</v>
      </c>
      <c r="P43" s="1" t="s">
        <v>101</v>
      </c>
      <c r="Q43" s="1" t="s">
        <v>114</v>
      </c>
      <c r="R43" s="1" t="s">
        <v>112</v>
      </c>
      <c r="S43" s="1" t="s">
        <v>112</v>
      </c>
      <c r="T43" s="1" t="str" cm="1">
        <f t="array" ref="T43">"9'b" &amp; _xlfn.XLOOKUP(TRIM(D$3)&amp;"", Mapping!$D$2:$D$9&amp;"", Mapping!$E$2:$E$9, "NOT_FOUND") &amp; "_" &amp; $C43 &amp; ": return {" &amp; _xlfn.TEXTJOIN(", ", TRUE, _xlfn.XLOOKUP(TRIM(D43:G43)&amp;"", Mapping!$A$2:$A$6&amp;"", Mapping!$B$2:$B$6, "NOT_FOUND")) &amp; "}; //  " &amp; D43 &amp; ",  " &amp; E43 &amp; ",  " &amp; F43 &amp; ",  " &amp; G43</f>
        <v>9'b100_100111: return {3'b010, 3'b110, 3'b110, 3'b111}; //  +2,  -2,  -2,  -1</v>
      </c>
      <c r="U43" s="1" t="str" cm="1">
        <f t="array" ref="U43">"9'b"&amp; _xlfn.XLOOKUP(--TRIM(H$3),--Mapping!$D$2:$D$9,Mapping!$E$2:$E$9) &amp; "_" &amp; $C43 &amp; ": return " &amp; "{" &amp; _xlfn.TEXTJOIN(", ", TRUE, _xlfn.XLOOKUP(--TRIM(H43:K43), --Mapping!$A$2:$A$6, Mapping!$B$2:$B$6)) &amp; "}" &amp; "; //  " &amp; H43 &amp; ",  "  &amp; I43 &amp; ",  "  &amp; J43 &amp; ",  "  &amp; K43</f>
        <v>9'b110_100111: return {3'b010, 3'b110, 3'b111, 3'b110}; //  +2,  -2,  -1,  -2</v>
      </c>
      <c r="V43" s="1" t="str" cm="1">
        <f t="array" ref="V43">"9'b"&amp; _xlfn.XLOOKUP(--TRIM(L$3),--Mapping!$D$2:$D$9,Mapping!$E$2:$E$9) &amp; "_" &amp; $C43 &amp; ": return " &amp; "{" &amp; _xlfn.TEXTJOIN(", ", TRUE, _xlfn.XLOOKUP(--TRIM(L43:O43), --Mapping!$A$2:$A$6, Mapping!$B$2:$B$6)) &amp; "}" &amp; "; //  " &amp; L43 &amp; ",  "  &amp; M43 &amp; ",  "  &amp; N43 &amp; ",  "  &amp; O43</f>
        <v>9'b101_100111: return {3'b010, 3'b111, 3'b111, 3'b111}; //  +2,  -1,  -1,  -1</v>
      </c>
      <c r="W43" s="1" t="str" cm="1">
        <f t="array" ref="W43">"9'b"&amp; _xlfn.XLOOKUP(--TRIM(P$3),--Mapping!$D$2:$D$9,Mapping!$E$2:$E$9) &amp; "_" &amp; $C43 &amp; ": return " &amp; "{" &amp; _xlfn.TEXTJOIN(", ", TRUE, _xlfn.XLOOKUP(--TRIM(P43:S43), --Mapping!$A$2:$A$6, Mapping!$B$2:$B$6)) &amp; "}" &amp; "; //  " &amp; P43 &amp; ",  "  &amp; Q43 &amp; ",  "  &amp; R43 &amp; ",  "  &amp; S43</f>
        <v>9'b111_100111: return {3'b010, 3'b111, 3'b110, 3'b110}; //  +2,  -1,  -2,  -2</v>
      </c>
    </row>
    <row r="44" spans="1:23" x14ac:dyDescent="0.25">
      <c r="A44" s="1" t="s">
        <v>235</v>
      </c>
      <c r="B44" s="1" t="s">
        <v>108</v>
      </c>
      <c r="C44" s="1" t="s">
        <v>152</v>
      </c>
      <c r="D44" s="1" t="s">
        <v>110</v>
      </c>
      <c r="E44" s="1" t="s">
        <v>110</v>
      </c>
      <c r="F44" s="1" t="s">
        <v>101</v>
      </c>
      <c r="G44" s="1" t="s">
        <v>102</v>
      </c>
      <c r="H44" s="1" t="s">
        <v>102</v>
      </c>
      <c r="I44" s="1" t="s">
        <v>102</v>
      </c>
      <c r="J44" s="1" t="s">
        <v>101</v>
      </c>
      <c r="K44" s="1" t="s">
        <v>102</v>
      </c>
      <c r="L44" s="1" t="s">
        <v>102</v>
      </c>
      <c r="M44" s="1" t="s">
        <v>110</v>
      </c>
      <c r="N44" s="1" t="s">
        <v>101</v>
      </c>
      <c r="O44" s="1" t="s">
        <v>110</v>
      </c>
      <c r="P44" s="1" t="s">
        <v>110</v>
      </c>
      <c r="Q44" s="1" t="s">
        <v>102</v>
      </c>
      <c r="R44" s="1" t="s">
        <v>101</v>
      </c>
      <c r="S44" s="1" t="s">
        <v>110</v>
      </c>
      <c r="T44" s="1" t="str" cm="1">
        <f t="array" ref="T44">"9'b" &amp; _xlfn.XLOOKUP(TRIM(D$3)&amp;"", Mapping!$D$2:$D$9&amp;"", Mapping!$E$2:$E$9, "NOT_FOUND") &amp; "_" &amp; $C44 &amp; ": return {" &amp; _xlfn.TEXTJOIN(", ", TRUE, _xlfn.XLOOKUP(TRIM(D44:G44)&amp;"", Mapping!$A$2:$A$6&amp;"", Mapping!$B$2:$B$6, "NOT_FOUND")) &amp; "}; //  " &amp; D44 &amp; ",  " &amp; E44 &amp; ",  " &amp; F44 &amp; ",  " &amp; G44</f>
        <v>9'b100_101000: return {3'b000, 3'b000, 3'b010, 3'b001}; //  0,  0,  +2,  +1</v>
      </c>
      <c r="U44" s="1" t="str" cm="1">
        <f t="array" ref="U44">"9'b"&amp; _xlfn.XLOOKUP(--TRIM(H$3),--Mapping!$D$2:$D$9,Mapping!$E$2:$E$9) &amp; "_" &amp; $C44 &amp; ": return " &amp; "{" &amp; _xlfn.TEXTJOIN(", ", TRUE, _xlfn.XLOOKUP(--TRIM(H44:K44), --Mapping!$A$2:$A$6, Mapping!$B$2:$B$6)) &amp; "}" &amp; "; //  " &amp; H44 &amp; ",  "  &amp; I44 &amp; ",  "  &amp; J44 &amp; ",  "  &amp; K44</f>
        <v>9'b110_101000: return {3'b001, 3'b001, 3'b010, 3'b001}; //  +1,  +1,  +2,  +1</v>
      </c>
      <c r="V44" s="1" t="str" cm="1">
        <f t="array" ref="V44">"9'b"&amp; _xlfn.XLOOKUP(--TRIM(L$3),--Mapping!$D$2:$D$9,Mapping!$E$2:$E$9) &amp; "_" &amp; $C44 &amp; ": return " &amp; "{" &amp; _xlfn.TEXTJOIN(", ", TRUE, _xlfn.XLOOKUP(--TRIM(L44:O44), --Mapping!$A$2:$A$6, Mapping!$B$2:$B$6)) &amp; "}" &amp; "; //  " &amp; L44 &amp; ",  "  &amp; M44 &amp; ",  "  &amp; N44 &amp; ",  "  &amp; O44</f>
        <v>9'b101_101000: return {3'b001, 3'b000, 3'b010, 3'b000}; //  +1,  0,  +2,  0</v>
      </c>
      <c r="W44" s="1" t="str" cm="1">
        <f t="array" ref="W44">"9'b"&amp; _xlfn.XLOOKUP(--TRIM(P$3),--Mapping!$D$2:$D$9,Mapping!$E$2:$E$9) &amp; "_" &amp; $C44 &amp; ": return " &amp; "{" &amp; _xlfn.TEXTJOIN(", ", TRUE, _xlfn.XLOOKUP(--TRIM(P44:S44), --Mapping!$A$2:$A$6, Mapping!$B$2:$B$6)) &amp; "}" &amp; "; //  " &amp; P44 &amp; ",  "  &amp; Q44 &amp; ",  "  &amp; R44 &amp; ",  "  &amp; S44</f>
        <v>9'b111_101000: return {3'b000, 3'b001, 3'b010, 3'b000}; //  0,  +1,  +2,  0</v>
      </c>
    </row>
    <row r="45" spans="1:23" x14ac:dyDescent="0.25">
      <c r="A45" s="1" t="s">
        <v>236</v>
      </c>
      <c r="B45" s="1" t="s">
        <v>108</v>
      </c>
      <c r="C45" s="1" t="s">
        <v>153</v>
      </c>
      <c r="D45" s="1" t="s">
        <v>112</v>
      </c>
      <c r="E45" s="1" t="s">
        <v>110</v>
      </c>
      <c r="F45" s="1" t="s">
        <v>101</v>
      </c>
      <c r="G45" s="1" t="s">
        <v>102</v>
      </c>
      <c r="H45" s="1" t="s">
        <v>114</v>
      </c>
      <c r="I45" s="1" t="s">
        <v>102</v>
      </c>
      <c r="J45" s="1" t="s">
        <v>101</v>
      </c>
      <c r="K45" s="1" t="s">
        <v>102</v>
      </c>
      <c r="L45" s="1" t="s">
        <v>114</v>
      </c>
      <c r="M45" s="1" t="s">
        <v>110</v>
      </c>
      <c r="N45" s="1" t="s">
        <v>101</v>
      </c>
      <c r="O45" s="1" t="s">
        <v>110</v>
      </c>
      <c r="P45" s="1" t="s">
        <v>112</v>
      </c>
      <c r="Q45" s="1" t="s">
        <v>102</v>
      </c>
      <c r="R45" s="1" t="s">
        <v>101</v>
      </c>
      <c r="S45" s="1" t="s">
        <v>110</v>
      </c>
      <c r="T45" s="1" t="str" cm="1">
        <f t="array" ref="T45">"9'b" &amp; _xlfn.XLOOKUP(TRIM(D$3)&amp;"", Mapping!$D$2:$D$9&amp;"", Mapping!$E$2:$E$9, "NOT_FOUND") &amp; "_" &amp; $C45 &amp; ": return {" &amp; _xlfn.TEXTJOIN(", ", TRUE, _xlfn.XLOOKUP(TRIM(D45:G45)&amp;"", Mapping!$A$2:$A$6&amp;"", Mapping!$B$2:$B$6, "NOT_FOUND")) &amp; "}; //  " &amp; D45 &amp; ",  " &amp; E45 &amp; ",  " &amp; F45 &amp; ",  " &amp; G45</f>
        <v>9'b100_101001: return {3'b110, 3'b000, 3'b010, 3'b001}; //  -2,  0,  +2,  +1</v>
      </c>
      <c r="U45" s="1" t="str" cm="1">
        <f t="array" ref="U45">"9'b"&amp; _xlfn.XLOOKUP(--TRIM(H$3),--Mapping!$D$2:$D$9,Mapping!$E$2:$E$9) &amp; "_" &amp; $C45 &amp; ": return " &amp; "{" &amp; _xlfn.TEXTJOIN(", ", TRUE, _xlfn.XLOOKUP(--TRIM(H45:K45), --Mapping!$A$2:$A$6, Mapping!$B$2:$B$6)) &amp; "}" &amp; "; //  " &amp; H45 &amp; ",  "  &amp; I45 &amp; ",  "  &amp; J45 &amp; ",  "  &amp; K45</f>
        <v>9'b110_101001: return {3'b111, 3'b001, 3'b010, 3'b001}; //  -1,  +1,  +2,  +1</v>
      </c>
      <c r="V45" s="1" t="str" cm="1">
        <f t="array" ref="V45">"9'b"&amp; _xlfn.XLOOKUP(--TRIM(L$3),--Mapping!$D$2:$D$9,Mapping!$E$2:$E$9) &amp; "_" &amp; $C45 &amp; ": return " &amp; "{" &amp; _xlfn.TEXTJOIN(", ", TRUE, _xlfn.XLOOKUP(--TRIM(L45:O45), --Mapping!$A$2:$A$6, Mapping!$B$2:$B$6)) &amp; "}" &amp; "; //  " &amp; L45 &amp; ",  "  &amp; M45 &amp; ",  "  &amp; N45 &amp; ",  "  &amp; O45</f>
        <v>9'b101_101001: return {3'b111, 3'b000, 3'b010, 3'b000}; //  -1,  0,  +2,  0</v>
      </c>
      <c r="W45" s="1" t="str" cm="1">
        <f t="array" ref="W45">"9'b"&amp; _xlfn.XLOOKUP(--TRIM(P$3),--Mapping!$D$2:$D$9,Mapping!$E$2:$E$9) &amp; "_" &amp; $C45 &amp; ": return " &amp; "{" &amp; _xlfn.TEXTJOIN(", ", TRUE, _xlfn.XLOOKUP(--TRIM(P45:S45), --Mapping!$A$2:$A$6, Mapping!$B$2:$B$6)) &amp; "}" &amp; "; //  " &amp; P45 &amp; ",  "  &amp; Q45 &amp; ",  "  &amp; R45 &amp; ",  "  &amp; S45</f>
        <v>9'b111_101001: return {3'b110, 3'b001, 3'b010, 3'b000}; //  -2,  +1,  +2,  0</v>
      </c>
    </row>
    <row r="46" spans="1:23" x14ac:dyDescent="0.25">
      <c r="A46" s="1" t="s">
        <v>237</v>
      </c>
      <c r="B46" s="1" t="s">
        <v>108</v>
      </c>
      <c r="C46" s="1" t="s">
        <v>154</v>
      </c>
      <c r="D46" s="1" t="s">
        <v>110</v>
      </c>
      <c r="E46" s="1" t="s">
        <v>112</v>
      </c>
      <c r="F46" s="1" t="s">
        <v>101</v>
      </c>
      <c r="G46" s="1" t="s">
        <v>102</v>
      </c>
      <c r="H46" s="1" t="s">
        <v>102</v>
      </c>
      <c r="I46" s="1" t="s">
        <v>114</v>
      </c>
      <c r="J46" s="1" t="s">
        <v>101</v>
      </c>
      <c r="K46" s="1" t="s">
        <v>102</v>
      </c>
      <c r="L46" s="1" t="s">
        <v>102</v>
      </c>
      <c r="M46" s="1" t="s">
        <v>112</v>
      </c>
      <c r="N46" s="1" t="s">
        <v>101</v>
      </c>
      <c r="O46" s="1" t="s">
        <v>110</v>
      </c>
      <c r="P46" s="1" t="s">
        <v>110</v>
      </c>
      <c r="Q46" s="1" t="s">
        <v>114</v>
      </c>
      <c r="R46" s="1" t="s">
        <v>101</v>
      </c>
      <c r="S46" s="1" t="s">
        <v>110</v>
      </c>
      <c r="T46" s="1" t="str" cm="1">
        <f t="array" ref="T46">"9'b" &amp; _xlfn.XLOOKUP(TRIM(D$3)&amp;"", Mapping!$D$2:$D$9&amp;"", Mapping!$E$2:$E$9, "NOT_FOUND") &amp; "_" &amp; $C46 &amp; ": return {" &amp; _xlfn.TEXTJOIN(", ", TRUE, _xlfn.XLOOKUP(TRIM(D46:G46)&amp;"", Mapping!$A$2:$A$6&amp;"", Mapping!$B$2:$B$6, "NOT_FOUND")) &amp; "}; //  " &amp; D46 &amp; ",  " &amp; E46 &amp; ",  " &amp; F46 &amp; ",  " &amp; G46</f>
        <v>9'b100_101010: return {3'b000, 3'b110, 3'b010, 3'b001}; //  0,  -2,  +2,  +1</v>
      </c>
      <c r="U46" s="1" t="str" cm="1">
        <f t="array" ref="U46">"9'b"&amp; _xlfn.XLOOKUP(--TRIM(H$3),--Mapping!$D$2:$D$9,Mapping!$E$2:$E$9) &amp; "_" &amp; $C46 &amp; ": return " &amp; "{" &amp; _xlfn.TEXTJOIN(", ", TRUE, _xlfn.XLOOKUP(--TRIM(H46:K46), --Mapping!$A$2:$A$6, Mapping!$B$2:$B$6)) &amp; "}" &amp; "; //  " &amp; H46 &amp; ",  "  &amp; I46 &amp; ",  "  &amp; J46 &amp; ",  "  &amp; K46</f>
        <v>9'b110_101010: return {3'b001, 3'b111, 3'b010, 3'b001}; //  +1,  -1,  +2,  +1</v>
      </c>
      <c r="V46" s="1" t="str" cm="1">
        <f t="array" ref="V46">"9'b"&amp; _xlfn.XLOOKUP(--TRIM(L$3),--Mapping!$D$2:$D$9,Mapping!$E$2:$E$9) &amp; "_" &amp; $C46 &amp; ": return " &amp; "{" &amp; _xlfn.TEXTJOIN(", ", TRUE, _xlfn.XLOOKUP(--TRIM(L46:O46), --Mapping!$A$2:$A$6, Mapping!$B$2:$B$6)) &amp; "}" &amp; "; //  " &amp; L46 &amp; ",  "  &amp; M46 &amp; ",  "  &amp; N46 &amp; ",  "  &amp; O46</f>
        <v>9'b101_101010: return {3'b001, 3'b110, 3'b010, 3'b000}; //  +1,  -2,  +2,  0</v>
      </c>
      <c r="W46" s="1" t="str" cm="1">
        <f t="array" ref="W46">"9'b"&amp; _xlfn.XLOOKUP(--TRIM(P$3),--Mapping!$D$2:$D$9,Mapping!$E$2:$E$9) &amp; "_" &amp; $C46 &amp; ": return " &amp; "{" &amp; _xlfn.TEXTJOIN(", ", TRUE, _xlfn.XLOOKUP(--TRIM(P46:S46), --Mapping!$A$2:$A$6, Mapping!$B$2:$B$6)) &amp; "}" &amp; "; //  " &amp; P46 &amp; ",  "  &amp; Q46 &amp; ",  "  &amp; R46 &amp; ",  "  &amp; S46</f>
        <v>9'b111_101010: return {3'b000, 3'b111, 3'b010, 3'b000}; //  0,  -1,  +2,  0</v>
      </c>
    </row>
    <row r="47" spans="1:23" x14ac:dyDescent="0.25">
      <c r="A47" s="1" t="s">
        <v>238</v>
      </c>
      <c r="B47" s="1" t="s">
        <v>108</v>
      </c>
      <c r="C47" s="1" t="s">
        <v>155</v>
      </c>
      <c r="D47" s="1" t="s">
        <v>112</v>
      </c>
      <c r="E47" s="1" t="s">
        <v>112</v>
      </c>
      <c r="F47" s="1" t="s">
        <v>101</v>
      </c>
      <c r="G47" s="1" t="s">
        <v>102</v>
      </c>
      <c r="H47" s="1" t="s">
        <v>114</v>
      </c>
      <c r="I47" s="1" t="s">
        <v>114</v>
      </c>
      <c r="J47" s="1" t="s">
        <v>101</v>
      </c>
      <c r="K47" s="1" t="s">
        <v>102</v>
      </c>
      <c r="L47" s="1" t="s">
        <v>114</v>
      </c>
      <c r="M47" s="1" t="s">
        <v>112</v>
      </c>
      <c r="N47" s="1" t="s">
        <v>101</v>
      </c>
      <c r="O47" s="1" t="s">
        <v>110</v>
      </c>
      <c r="P47" s="1" t="s">
        <v>112</v>
      </c>
      <c r="Q47" s="1" t="s">
        <v>114</v>
      </c>
      <c r="R47" s="1" t="s">
        <v>101</v>
      </c>
      <c r="S47" s="1" t="s">
        <v>110</v>
      </c>
      <c r="T47" s="1" t="str" cm="1">
        <f t="array" ref="T47">"9'b" &amp; _xlfn.XLOOKUP(TRIM(D$3)&amp;"", Mapping!$D$2:$D$9&amp;"", Mapping!$E$2:$E$9, "NOT_FOUND") &amp; "_" &amp; $C47 &amp; ": return {" &amp; _xlfn.TEXTJOIN(", ", TRUE, _xlfn.XLOOKUP(TRIM(D47:G47)&amp;"", Mapping!$A$2:$A$6&amp;"", Mapping!$B$2:$B$6, "NOT_FOUND")) &amp; "}; //  " &amp; D47 &amp; ",  " &amp; E47 &amp; ",  " &amp; F47 &amp; ",  " &amp; G47</f>
        <v>9'b100_101011: return {3'b110, 3'b110, 3'b010, 3'b001}; //  -2,  -2,  +2,  +1</v>
      </c>
      <c r="U47" s="1" t="str" cm="1">
        <f t="array" ref="U47">"9'b"&amp; _xlfn.XLOOKUP(--TRIM(H$3),--Mapping!$D$2:$D$9,Mapping!$E$2:$E$9) &amp; "_" &amp; $C47 &amp; ": return " &amp; "{" &amp; _xlfn.TEXTJOIN(", ", TRUE, _xlfn.XLOOKUP(--TRIM(H47:K47), --Mapping!$A$2:$A$6, Mapping!$B$2:$B$6)) &amp; "}" &amp; "; //  " &amp; H47 &amp; ",  "  &amp; I47 &amp; ",  "  &amp; J47 &amp; ",  "  &amp; K47</f>
        <v>9'b110_101011: return {3'b111, 3'b111, 3'b010, 3'b001}; //  -1,  -1,  +2,  +1</v>
      </c>
      <c r="V47" s="1" t="str" cm="1">
        <f t="array" ref="V47">"9'b"&amp; _xlfn.XLOOKUP(--TRIM(L$3),--Mapping!$D$2:$D$9,Mapping!$E$2:$E$9) &amp; "_" &amp; $C47 &amp; ": return " &amp; "{" &amp; _xlfn.TEXTJOIN(", ", TRUE, _xlfn.XLOOKUP(--TRIM(L47:O47), --Mapping!$A$2:$A$6, Mapping!$B$2:$B$6)) &amp; "}" &amp; "; //  " &amp; L47 &amp; ",  "  &amp; M47 &amp; ",  "  &amp; N47 &amp; ",  "  &amp; O47</f>
        <v>9'b101_101011: return {3'b111, 3'b110, 3'b010, 3'b000}; //  -1,  -2,  +2,  0</v>
      </c>
      <c r="W47" s="1" t="str" cm="1">
        <f t="array" ref="W47">"9'b"&amp; _xlfn.XLOOKUP(--TRIM(P$3),--Mapping!$D$2:$D$9,Mapping!$E$2:$E$9) &amp; "_" &amp; $C47 &amp; ": return " &amp; "{" &amp; _xlfn.TEXTJOIN(", ", TRUE, _xlfn.XLOOKUP(--TRIM(P47:S47), --Mapping!$A$2:$A$6, Mapping!$B$2:$B$6)) &amp; "}" &amp; "; //  " &amp; P47 &amp; ",  "  &amp; Q47 &amp; ",  "  &amp; R47 &amp; ",  "  &amp; S47</f>
        <v>9'b111_101011: return {3'b110, 3'b111, 3'b010, 3'b000}; //  -2,  -1,  +2,  0</v>
      </c>
    </row>
    <row r="48" spans="1:23" x14ac:dyDescent="0.25">
      <c r="A48" s="1" t="s">
        <v>239</v>
      </c>
      <c r="B48" s="1" t="s">
        <v>108</v>
      </c>
      <c r="C48" s="1" t="s">
        <v>156</v>
      </c>
      <c r="D48" s="1" t="s">
        <v>110</v>
      </c>
      <c r="E48" s="1" t="s">
        <v>110</v>
      </c>
      <c r="F48" s="1" t="s">
        <v>101</v>
      </c>
      <c r="G48" s="1" t="s">
        <v>114</v>
      </c>
      <c r="H48" s="1" t="s">
        <v>102</v>
      </c>
      <c r="I48" s="1" t="s">
        <v>102</v>
      </c>
      <c r="J48" s="1" t="s">
        <v>101</v>
      </c>
      <c r="K48" s="1" t="s">
        <v>114</v>
      </c>
      <c r="L48" s="1" t="s">
        <v>102</v>
      </c>
      <c r="M48" s="1" t="s">
        <v>110</v>
      </c>
      <c r="N48" s="1" t="s">
        <v>101</v>
      </c>
      <c r="O48" s="1" t="s">
        <v>112</v>
      </c>
      <c r="P48" s="1" t="s">
        <v>110</v>
      </c>
      <c r="Q48" s="1" t="s">
        <v>102</v>
      </c>
      <c r="R48" s="1" t="s">
        <v>101</v>
      </c>
      <c r="S48" s="1" t="s">
        <v>112</v>
      </c>
      <c r="T48" s="1" t="str" cm="1">
        <f t="array" ref="T48">"9'b" &amp; _xlfn.XLOOKUP(TRIM(D$3)&amp;"", Mapping!$D$2:$D$9&amp;"", Mapping!$E$2:$E$9, "NOT_FOUND") &amp; "_" &amp; $C48 &amp; ": return {" &amp; _xlfn.TEXTJOIN(", ", TRUE, _xlfn.XLOOKUP(TRIM(D48:G48)&amp;"", Mapping!$A$2:$A$6&amp;"", Mapping!$B$2:$B$6, "NOT_FOUND")) &amp; "}; //  " &amp; D48 &amp; ",  " &amp; E48 &amp; ",  " &amp; F48 &amp; ",  " &amp; G48</f>
        <v>9'b100_101100: return {3'b000, 3'b000, 3'b010, 3'b111}; //  0,  0,  +2,  -1</v>
      </c>
      <c r="U48" s="1" t="str" cm="1">
        <f t="array" ref="U48">"9'b"&amp; _xlfn.XLOOKUP(--TRIM(H$3),--Mapping!$D$2:$D$9,Mapping!$E$2:$E$9) &amp; "_" &amp; $C48 &amp; ": return " &amp; "{" &amp; _xlfn.TEXTJOIN(", ", TRUE, _xlfn.XLOOKUP(--TRIM(H48:K48), --Mapping!$A$2:$A$6, Mapping!$B$2:$B$6)) &amp; "}" &amp; "; //  " &amp; H48 &amp; ",  "  &amp; I48 &amp; ",  "  &amp; J48 &amp; ",  "  &amp; K48</f>
        <v>9'b110_101100: return {3'b001, 3'b001, 3'b010, 3'b111}; //  +1,  +1,  +2,  -1</v>
      </c>
      <c r="V48" s="1" t="str" cm="1">
        <f t="array" ref="V48">"9'b"&amp; _xlfn.XLOOKUP(--TRIM(L$3),--Mapping!$D$2:$D$9,Mapping!$E$2:$E$9) &amp; "_" &amp; $C48 &amp; ": return " &amp; "{" &amp; _xlfn.TEXTJOIN(", ", TRUE, _xlfn.XLOOKUP(--TRIM(L48:O48), --Mapping!$A$2:$A$6, Mapping!$B$2:$B$6)) &amp; "}" &amp; "; //  " &amp; L48 &amp; ",  "  &amp; M48 &amp; ",  "  &amp; N48 &amp; ",  "  &amp; O48</f>
        <v>9'b101_101100: return {3'b001, 3'b000, 3'b010, 3'b110}; //  +1,  0,  +2,  -2</v>
      </c>
      <c r="W48" s="1" t="str" cm="1">
        <f t="array" ref="W48">"9'b"&amp; _xlfn.XLOOKUP(--TRIM(P$3),--Mapping!$D$2:$D$9,Mapping!$E$2:$E$9) &amp; "_" &amp; $C48 &amp; ": return " &amp; "{" &amp; _xlfn.TEXTJOIN(", ", TRUE, _xlfn.XLOOKUP(--TRIM(P48:S48), --Mapping!$A$2:$A$6, Mapping!$B$2:$B$6)) &amp; "}" &amp; "; //  " &amp; P48 &amp; ",  "  &amp; Q48 &amp; ",  "  &amp; R48 &amp; ",  "  &amp; S48</f>
        <v>9'b111_101100: return {3'b000, 3'b001, 3'b010, 3'b110}; //  0,  +1,  +2,  -2</v>
      </c>
    </row>
    <row r="49" spans="1:23" x14ac:dyDescent="0.25">
      <c r="A49" s="1" t="s">
        <v>240</v>
      </c>
      <c r="B49" s="1" t="s">
        <v>108</v>
      </c>
      <c r="C49" s="1" t="s">
        <v>157</v>
      </c>
      <c r="D49" s="1" t="s">
        <v>112</v>
      </c>
      <c r="E49" s="1" t="s">
        <v>110</v>
      </c>
      <c r="F49" s="1" t="s">
        <v>101</v>
      </c>
      <c r="G49" s="1" t="s">
        <v>114</v>
      </c>
      <c r="H49" s="1" t="s">
        <v>114</v>
      </c>
      <c r="I49" s="1" t="s">
        <v>102</v>
      </c>
      <c r="J49" s="1" t="s">
        <v>101</v>
      </c>
      <c r="K49" s="1" t="s">
        <v>114</v>
      </c>
      <c r="L49" s="1" t="s">
        <v>114</v>
      </c>
      <c r="M49" s="1" t="s">
        <v>110</v>
      </c>
      <c r="N49" s="1" t="s">
        <v>101</v>
      </c>
      <c r="O49" s="1" t="s">
        <v>112</v>
      </c>
      <c r="P49" s="1" t="s">
        <v>112</v>
      </c>
      <c r="Q49" s="1" t="s">
        <v>102</v>
      </c>
      <c r="R49" s="1" t="s">
        <v>101</v>
      </c>
      <c r="S49" s="1" t="s">
        <v>112</v>
      </c>
      <c r="T49" s="1" t="str" cm="1">
        <f t="array" ref="T49">"9'b" &amp; _xlfn.XLOOKUP(TRIM(D$3)&amp;"", Mapping!$D$2:$D$9&amp;"", Mapping!$E$2:$E$9, "NOT_FOUND") &amp; "_" &amp; $C49 &amp; ": return {" &amp; _xlfn.TEXTJOIN(", ", TRUE, _xlfn.XLOOKUP(TRIM(D49:G49)&amp;"", Mapping!$A$2:$A$6&amp;"", Mapping!$B$2:$B$6, "NOT_FOUND")) &amp; "}; //  " &amp; D49 &amp; ",  " &amp; E49 &amp; ",  " &amp; F49 &amp; ",  " &amp; G49</f>
        <v>9'b100_101101: return {3'b110, 3'b000, 3'b010, 3'b111}; //  -2,  0,  +2,  -1</v>
      </c>
      <c r="U49" s="1" t="str" cm="1">
        <f t="array" ref="U49">"9'b"&amp; _xlfn.XLOOKUP(--TRIM(H$3),--Mapping!$D$2:$D$9,Mapping!$E$2:$E$9) &amp; "_" &amp; $C49 &amp; ": return " &amp; "{" &amp; _xlfn.TEXTJOIN(", ", TRUE, _xlfn.XLOOKUP(--TRIM(H49:K49), --Mapping!$A$2:$A$6, Mapping!$B$2:$B$6)) &amp; "}" &amp; "; //  " &amp; H49 &amp; ",  "  &amp; I49 &amp; ",  "  &amp; J49 &amp; ",  "  &amp; K49</f>
        <v>9'b110_101101: return {3'b111, 3'b001, 3'b010, 3'b111}; //  -1,  +1,  +2,  -1</v>
      </c>
      <c r="V49" s="1" t="str" cm="1">
        <f t="array" ref="V49">"9'b"&amp; _xlfn.XLOOKUP(--TRIM(L$3),--Mapping!$D$2:$D$9,Mapping!$E$2:$E$9) &amp; "_" &amp; $C49 &amp; ": return " &amp; "{" &amp; _xlfn.TEXTJOIN(", ", TRUE, _xlfn.XLOOKUP(--TRIM(L49:O49), --Mapping!$A$2:$A$6, Mapping!$B$2:$B$6)) &amp; "}" &amp; "; //  " &amp; L49 &amp; ",  "  &amp; M49 &amp; ",  "  &amp; N49 &amp; ",  "  &amp; O49</f>
        <v>9'b101_101101: return {3'b111, 3'b000, 3'b010, 3'b110}; //  -1,  0,  +2,  -2</v>
      </c>
      <c r="W49" s="1" t="str" cm="1">
        <f t="array" ref="W49">"9'b"&amp; _xlfn.XLOOKUP(--TRIM(P$3),--Mapping!$D$2:$D$9,Mapping!$E$2:$E$9) &amp; "_" &amp; $C49 &amp; ": return " &amp; "{" &amp; _xlfn.TEXTJOIN(", ", TRUE, _xlfn.XLOOKUP(--TRIM(P49:S49), --Mapping!$A$2:$A$6, Mapping!$B$2:$B$6)) &amp; "}" &amp; "; //  " &amp; P49 &amp; ",  "  &amp; Q49 &amp; ",  "  &amp; R49 &amp; ",  "  &amp; S49</f>
        <v>9'b111_101101: return {3'b110, 3'b001, 3'b010, 3'b110}; //  -2,  +1,  +2,  -2</v>
      </c>
    </row>
    <row r="50" spans="1:23" x14ac:dyDescent="0.25">
      <c r="A50" s="1" t="s">
        <v>241</v>
      </c>
      <c r="B50" s="1" t="s">
        <v>108</v>
      </c>
      <c r="C50" s="1" t="s">
        <v>158</v>
      </c>
      <c r="D50" s="1" t="s">
        <v>110</v>
      </c>
      <c r="E50" s="1" t="s">
        <v>112</v>
      </c>
      <c r="F50" s="1" t="s">
        <v>101</v>
      </c>
      <c r="G50" s="1" t="s">
        <v>114</v>
      </c>
      <c r="H50" s="1" t="s">
        <v>102</v>
      </c>
      <c r="I50" s="1" t="s">
        <v>114</v>
      </c>
      <c r="J50" s="1" t="s">
        <v>101</v>
      </c>
      <c r="K50" s="1" t="s">
        <v>114</v>
      </c>
      <c r="L50" s="1" t="s">
        <v>102</v>
      </c>
      <c r="M50" s="1" t="s">
        <v>112</v>
      </c>
      <c r="N50" s="1" t="s">
        <v>101</v>
      </c>
      <c r="O50" s="1" t="s">
        <v>112</v>
      </c>
      <c r="P50" s="1" t="s">
        <v>110</v>
      </c>
      <c r="Q50" s="1" t="s">
        <v>114</v>
      </c>
      <c r="R50" s="1" t="s">
        <v>101</v>
      </c>
      <c r="S50" s="1" t="s">
        <v>112</v>
      </c>
      <c r="T50" s="1" t="str" cm="1">
        <f t="array" ref="T50">"9'b" &amp; _xlfn.XLOOKUP(TRIM(D$3)&amp;"", Mapping!$D$2:$D$9&amp;"", Mapping!$E$2:$E$9, "NOT_FOUND") &amp; "_" &amp; $C50 &amp; ": return {" &amp; _xlfn.TEXTJOIN(", ", TRUE, _xlfn.XLOOKUP(TRIM(D50:G50)&amp;"", Mapping!$A$2:$A$6&amp;"", Mapping!$B$2:$B$6, "NOT_FOUND")) &amp; "}; //  " &amp; D50 &amp; ",  " &amp; E50 &amp; ",  " &amp; F50 &amp; ",  " &amp; G50</f>
        <v>9'b100_101110: return {3'b000, 3'b110, 3'b010, 3'b111}; //  0,  -2,  +2,  -1</v>
      </c>
      <c r="U50" s="1" t="str" cm="1">
        <f t="array" ref="U50">"9'b"&amp; _xlfn.XLOOKUP(--TRIM(H$3),--Mapping!$D$2:$D$9,Mapping!$E$2:$E$9) &amp; "_" &amp; $C50 &amp; ": return " &amp; "{" &amp; _xlfn.TEXTJOIN(", ", TRUE, _xlfn.XLOOKUP(--TRIM(H50:K50), --Mapping!$A$2:$A$6, Mapping!$B$2:$B$6)) &amp; "}" &amp; "; //  " &amp; H50 &amp; ",  "  &amp; I50 &amp; ",  "  &amp; J50 &amp; ",  "  &amp; K50</f>
        <v>9'b110_101110: return {3'b001, 3'b111, 3'b010, 3'b111}; //  +1,  -1,  +2,  -1</v>
      </c>
      <c r="V50" s="1" t="str" cm="1">
        <f t="array" ref="V50">"9'b"&amp; _xlfn.XLOOKUP(--TRIM(L$3),--Mapping!$D$2:$D$9,Mapping!$E$2:$E$9) &amp; "_" &amp; $C50 &amp; ": return " &amp; "{" &amp; _xlfn.TEXTJOIN(", ", TRUE, _xlfn.XLOOKUP(--TRIM(L50:O50), --Mapping!$A$2:$A$6, Mapping!$B$2:$B$6)) &amp; "}" &amp; "; //  " &amp; L50 &amp; ",  "  &amp; M50 &amp; ",  "  &amp; N50 &amp; ",  "  &amp; O50</f>
        <v>9'b101_101110: return {3'b001, 3'b110, 3'b010, 3'b110}; //  +1,  -2,  +2,  -2</v>
      </c>
      <c r="W50" s="1" t="str" cm="1">
        <f t="array" ref="W50">"9'b"&amp; _xlfn.XLOOKUP(--TRIM(P$3),--Mapping!$D$2:$D$9,Mapping!$E$2:$E$9) &amp; "_" &amp; $C50 &amp; ": return " &amp; "{" &amp; _xlfn.TEXTJOIN(", ", TRUE, _xlfn.XLOOKUP(--TRIM(P50:S50), --Mapping!$A$2:$A$6, Mapping!$B$2:$B$6)) &amp; "}" &amp; "; //  " &amp; P50 &amp; ",  "  &amp; Q50 &amp; ",  "  &amp; R50 &amp; ",  "  &amp; S50</f>
        <v>9'b111_101110: return {3'b000, 3'b111, 3'b010, 3'b110}; //  0,  -1,  +2,  -2</v>
      </c>
    </row>
    <row r="51" spans="1:23" x14ac:dyDescent="0.25">
      <c r="A51" s="1" t="s">
        <v>242</v>
      </c>
      <c r="B51" s="1" t="s">
        <v>108</v>
      </c>
      <c r="C51" s="1" t="s">
        <v>159</v>
      </c>
      <c r="D51" s="1" t="s">
        <v>112</v>
      </c>
      <c r="E51" s="1" t="s">
        <v>112</v>
      </c>
      <c r="F51" s="1" t="s">
        <v>101</v>
      </c>
      <c r="G51" s="1" t="s">
        <v>114</v>
      </c>
      <c r="H51" s="1" t="s">
        <v>114</v>
      </c>
      <c r="I51" s="1" t="s">
        <v>114</v>
      </c>
      <c r="J51" s="1" t="s">
        <v>101</v>
      </c>
      <c r="K51" s="1" t="s">
        <v>114</v>
      </c>
      <c r="L51" s="1" t="s">
        <v>114</v>
      </c>
      <c r="M51" s="1" t="s">
        <v>112</v>
      </c>
      <c r="N51" s="1" t="s">
        <v>101</v>
      </c>
      <c r="O51" s="1" t="s">
        <v>112</v>
      </c>
      <c r="P51" s="1" t="s">
        <v>112</v>
      </c>
      <c r="Q51" s="1" t="s">
        <v>114</v>
      </c>
      <c r="R51" s="1" t="s">
        <v>101</v>
      </c>
      <c r="S51" s="1" t="s">
        <v>112</v>
      </c>
      <c r="T51" s="1" t="str" cm="1">
        <f t="array" ref="T51">"9'b" &amp; _xlfn.XLOOKUP(TRIM(D$3)&amp;"", Mapping!$D$2:$D$9&amp;"", Mapping!$E$2:$E$9, "NOT_FOUND") &amp; "_" &amp; $C51 &amp; ": return {" &amp; _xlfn.TEXTJOIN(", ", TRUE, _xlfn.XLOOKUP(TRIM(D51:G51)&amp;"", Mapping!$A$2:$A$6&amp;"", Mapping!$B$2:$B$6, "NOT_FOUND")) &amp; "}; //  " &amp; D51 &amp; ",  " &amp; E51 &amp; ",  " &amp; F51 &amp; ",  " &amp; G51</f>
        <v>9'b100_101111: return {3'b110, 3'b110, 3'b010, 3'b111}; //  -2,  -2,  +2,  -1</v>
      </c>
      <c r="U51" s="1" t="str" cm="1">
        <f t="array" ref="U51">"9'b"&amp; _xlfn.XLOOKUP(--TRIM(H$3),--Mapping!$D$2:$D$9,Mapping!$E$2:$E$9) &amp; "_" &amp; $C51 &amp; ": return " &amp; "{" &amp; _xlfn.TEXTJOIN(", ", TRUE, _xlfn.XLOOKUP(--TRIM(H51:K51), --Mapping!$A$2:$A$6, Mapping!$B$2:$B$6)) &amp; "}" &amp; "; //  " &amp; H51 &amp; ",  "  &amp; I51 &amp; ",  "  &amp; J51 &amp; ",  "  &amp; K51</f>
        <v>9'b110_101111: return {3'b111, 3'b111, 3'b010, 3'b111}; //  -1,  -1,  +2,  -1</v>
      </c>
      <c r="V51" s="1" t="str" cm="1">
        <f t="array" ref="V51">"9'b"&amp; _xlfn.XLOOKUP(--TRIM(L$3),--Mapping!$D$2:$D$9,Mapping!$E$2:$E$9) &amp; "_" &amp; $C51 &amp; ": return " &amp; "{" &amp; _xlfn.TEXTJOIN(", ", TRUE, _xlfn.XLOOKUP(--TRIM(L51:O51), --Mapping!$A$2:$A$6, Mapping!$B$2:$B$6)) &amp; "}" &amp; "; //  " &amp; L51 &amp; ",  "  &amp; M51 &amp; ",  "  &amp; N51 &amp; ",  "  &amp; O51</f>
        <v>9'b101_101111: return {3'b111, 3'b110, 3'b010, 3'b110}; //  -1,  -2,  +2,  -2</v>
      </c>
      <c r="W51" s="1" t="str" cm="1">
        <f t="array" ref="W51">"9'b"&amp; _xlfn.XLOOKUP(--TRIM(P$3),--Mapping!$D$2:$D$9,Mapping!$E$2:$E$9) &amp; "_" &amp; $C51 &amp; ": return " &amp; "{" &amp; _xlfn.TEXTJOIN(", ", TRUE, _xlfn.XLOOKUP(--TRIM(P51:S51), --Mapping!$A$2:$A$6, Mapping!$B$2:$B$6)) &amp; "}" &amp; "; //  " &amp; P51 &amp; ",  "  &amp; Q51 &amp; ",  "  &amp; R51 &amp; ",  "  &amp; S51</f>
        <v>9'b111_101111: return {3'b110, 3'b111, 3'b010, 3'b110}; //  -2,  -1,  +2,  -2</v>
      </c>
    </row>
    <row r="52" spans="1:23" x14ac:dyDescent="0.25">
      <c r="A52" s="1" t="s">
        <v>243</v>
      </c>
      <c r="B52" s="1" t="s">
        <v>108</v>
      </c>
      <c r="C52" s="1" t="s">
        <v>160</v>
      </c>
      <c r="D52" s="1" t="s">
        <v>110</v>
      </c>
      <c r="E52" s="1" t="s">
        <v>101</v>
      </c>
      <c r="F52" s="1" t="s">
        <v>110</v>
      </c>
      <c r="G52" s="1" t="s">
        <v>102</v>
      </c>
      <c r="H52" s="1" t="s">
        <v>110</v>
      </c>
      <c r="I52" s="1" t="s">
        <v>101</v>
      </c>
      <c r="J52" s="1" t="s">
        <v>102</v>
      </c>
      <c r="K52" s="1" t="s">
        <v>110</v>
      </c>
      <c r="L52" s="1" t="s">
        <v>102</v>
      </c>
      <c r="M52" s="1" t="s">
        <v>101</v>
      </c>
      <c r="N52" s="1" t="s">
        <v>110</v>
      </c>
      <c r="O52" s="1" t="s">
        <v>110</v>
      </c>
      <c r="P52" s="1" t="s">
        <v>102</v>
      </c>
      <c r="Q52" s="1" t="s">
        <v>101</v>
      </c>
      <c r="R52" s="1" t="s">
        <v>102</v>
      </c>
      <c r="S52" s="1" t="s">
        <v>102</v>
      </c>
      <c r="T52" s="1" t="str" cm="1">
        <f t="array" ref="T52">"9'b" &amp; _xlfn.XLOOKUP(TRIM(D$3)&amp;"", Mapping!$D$2:$D$9&amp;"", Mapping!$E$2:$E$9, "NOT_FOUND") &amp; "_" &amp; $C52 &amp; ": return {" &amp; _xlfn.TEXTJOIN(", ", TRUE, _xlfn.XLOOKUP(TRIM(D52:G52)&amp;"", Mapping!$A$2:$A$6&amp;"", Mapping!$B$2:$B$6, "NOT_FOUND")) &amp; "}; //  " &amp; D52 &amp; ",  " &amp; E52 &amp; ",  " &amp; F52 &amp; ",  " &amp; G52</f>
        <v>9'b100_110000: return {3'b000, 3'b010, 3'b000, 3'b001}; //  0,  +2,  0,  +1</v>
      </c>
      <c r="U52" s="1" t="str" cm="1">
        <f t="array" ref="U52">"9'b"&amp; _xlfn.XLOOKUP(--TRIM(H$3),--Mapping!$D$2:$D$9,Mapping!$E$2:$E$9) &amp; "_" &amp; $C52 &amp; ": return " &amp; "{" &amp; _xlfn.TEXTJOIN(", ", TRUE, _xlfn.XLOOKUP(--TRIM(H52:K52), --Mapping!$A$2:$A$6, Mapping!$B$2:$B$6)) &amp; "}" &amp; "; //  " &amp; H52 &amp; ",  "  &amp; I52 &amp; ",  "  &amp; J52 &amp; ",  "  &amp; K52</f>
        <v>9'b110_110000: return {3'b000, 3'b010, 3'b001, 3'b000}; //  0,  +2,  +1,  0</v>
      </c>
      <c r="V52" s="1" t="str" cm="1">
        <f t="array" ref="V52">"9'b"&amp; _xlfn.XLOOKUP(--TRIM(L$3),--Mapping!$D$2:$D$9,Mapping!$E$2:$E$9) &amp; "_" &amp; $C52 &amp; ": return " &amp; "{" &amp; _xlfn.TEXTJOIN(", ", TRUE, _xlfn.XLOOKUP(--TRIM(L52:O52), --Mapping!$A$2:$A$6, Mapping!$B$2:$B$6)) &amp; "}" &amp; "; //  " &amp; L52 &amp; ",  "  &amp; M52 &amp; ",  "  &amp; N52 &amp; ",  "  &amp; O52</f>
        <v>9'b101_110000: return {3'b001, 3'b010, 3'b000, 3'b000}; //  +1,  +2,  0,  0</v>
      </c>
      <c r="W52" s="1" t="str" cm="1">
        <f t="array" ref="W52">"9'b"&amp; _xlfn.XLOOKUP(--TRIM(P$3),--Mapping!$D$2:$D$9,Mapping!$E$2:$E$9) &amp; "_" &amp; $C52 &amp; ": return " &amp; "{" &amp; _xlfn.TEXTJOIN(", ", TRUE, _xlfn.XLOOKUP(--TRIM(P52:S52), --Mapping!$A$2:$A$6, Mapping!$B$2:$B$6)) &amp; "}" &amp; "; //  " &amp; P52 &amp; ",  "  &amp; Q52 &amp; ",  "  &amp; R52 &amp; ",  "  &amp; S52</f>
        <v>9'b111_110000: return {3'b001, 3'b010, 3'b001, 3'b001}; //  +1,  +2,  +1,  +1</v>
      </c>
    </row>
    <row r="53" spans="1:23" x14ac:dyDescent="0.25">
      <c r="A53" s="1" t="s">
        <v>244</v>
      </c>
      <c r="B53" s="1" t="s">
        <v>108</v>
      </c>
      <c r="C53" s="1" t="s">
        <v>161</v>
      </c>
      <c r="D53" s="1" t="s">
        <v>112</v>
      </c>
      <c r="E53" s="1" t="s">
        <v>101</v>
      </c>
      <c r="F53" s="1" t="s">
        <v>110</v>
      </c>
      <c r="G53" s="1" t="s">
        <v>102</v>
      </c>
      <c r="H53" s="1" t="s">
        <v>112</v>
      </c>
      <c r="I53" s="1" t="s">
        <v>101</v>
      </c>
      <c r="J53" s="1" t="s">
        <v>102</v>
      </c>
      <c r="K53" s="1" t="s">
        <v>110</v>
      </c>
      <c r="L53" s="1" t="s">
        <v>114</v>
      </c>
      <c r="M53" s="1" t="s">
        <v>101</v>
      </c>
      <c r="N53" s="1" t="s">
        <v>110</v>
      </c>
      <c r="O53" s="1" t="s">
        <v>110</v>
      </c>
      <c r="P53" s="1" t="s">
        <v>114</v>
      </c>
      <c r="Q53" s="1" t="s">
        <v>101</v>
      </c>
      <c r="R53" s="1" t="s">
        <v>102</v>
      </c>
      <c r="S53" s="1" t="s">
        <v>102</v>
      </c>
      <c r="T53" s="1" t="str" cm="1">
        <f t="array" ref="T53">"9'b" &amp; _xlfn.XLOOKUP(TRIM(D$3)&amp;"", Mapping!$D$2:$D$9&amp;"", Mapping!$E$2:$E$9, "NOT_FOUND") &amp; "_" &amp; $C53 &amp; ": return {" &amp; _xlfn.TEXTJOIN(", ", TRUE, _xlfn.XLOOKUP(TRIM(D53:G53)&amp;"", Mapping!$A$2:$A$6&amp;"", Mapping!$B$2:$B$6, "NOT_FOUND")) &amp; "}; //  " &amp; D53 &amp; ",  " &amp; E53 &amp; ",  " &amp; F53 &amp; ",  " &amp; G53</f>
        <v>9'b100_110001: return {3'b110, 3'b010, 3'b000, 3'b001}; //  -2,  +2,  0,  +1</v>
      </c>
      <c r="U53" s="1" t="str" cm="1">
        <f t="array" ref="U53">"9'b"&amp; _xlfn.XLOOKUP(--TRIM(H$3),--Mapping!$D$2:$D$9,Mapping!$E$2:$E$9) &amp; "_" &amp; $C53 &amp; ": return " &amp; "{" &amp; _xlfn.TEXTJOIN(", ", TRUE, _xlfn.XLOOKUP(--TRIM(H53:K53), --Mapping!$A$2:$A$6, Mapping!$B$2:$B$6)) &amp; "}" &amp; "; //  " &amp; H53 &amp; ",  "  &amp; I53 &amp; ",  "  &amp; J53 &amp; ",  "  &amp; K53</f>
        <v>9'b110_110001: return {3'b110, 3'b010, 3'b001, 3'b000}; //  -2,  +2,  +1,  0</v>
      </c>
      <c r="V53" s="1" t="str" cm="1">
        <f t="array" ref="V53">"9'b"&amp; _xlfn.XLOOKUP(--TRIM(L$3),--Mapping!$D$2:$D$9,Mapping!$E$2:$E$9) &amp; "_" &amp; $C53 &amp; ": return " &amp; "{" &amp; _xlfn.TEXTJOIN(", ", TRUE, _xlfn.XLOOKUP(--TRIM(L53:O53), --Mapping!$A$2:$A$6, Mapping!$B$2:$B$6)) &amp; "}" &amp; "; //  " &amp; L53 &amp; ",  "  &amp; M53 &amp; ",  "  &amp; N53 &amp; ",  "  &amp; O53</f>
        <v>9'b101_110001: return {3'b111, 3'b010, 3'b000, 3'b000}; //  -1,  +2,  0,  0</v>
      </c>
      <c r="W53" s="1" t="str" cm="1">
        <f t="array" ref="W53">"9'b"&amp; _xlfn.XLOOKUP(--TRIM(P$3),--Mapping!$D$2:$D$9,Mapping!$E$2:$E$9) &amp; "_" &amp; $C53 &amp; ": return " &amp; "{" &amp; _xlfn.TEXTJOIN(", ", TRUE, _xlfn.XLOOKUP(--TRIM(P53:S53), --Mapping!$A$2:$A$6, Mapping!$B$2:$B$6)) &amp; "}" &amp; "; //  " &amp; P53 &amp; ",  "  &amp; Q53 &amp; ",  "  &amp; R53 &amp; ",  "  &amp; S53</f>
        <v>9'b111_110001: return {3'b111, 3'b010, 3'b001, 3'b001}; //  -1,  +2,  +1,  +1</v>
      </c>
    </row>
    <row r="54" spans="1:23" x14ac:dyDescent="0.25">
      <c r="A54" s="1" t="s">
        <v>245</v>
      </c>
      <c r="B54" s="1" t="s">
        <v>108</v>
      </c>
      <c r="C54" s="1" t="s">
        <v>162</v>
      </c>
      <c r="D54" s="1" t="s">
        <v>110</v>
      </c>
      <c r="E54" s="1" t="s">
        <v>101</v>
      </c>
      <c r="F54" s="1" t="s">
        <v>112</v>
      </c>
      <c r="G54" s="1" t="s">
        <v>102</v>
      </c>
      <c r="H54" s="1" t="s">
        <v>110</v>
      </c>
      <c r="I54" s="1" t="s">
        <v>101</v>
      </c>
      <c r="J54" s="1" t="s">
        <v>114</v>
      </c>
      <c r="K54" s="1" t="s">
        <v>110</v>
      </c>
      <c r="L54" s="1" t="s">
        <v>102</v>
      </c>
      <c r="M54" s="1" t="s">
        <v>101</v>
      </c>
      <c r="N54" s="1" t="s">
        <v>112</v>
      </c>
      <c r="O54" s="1" t="s">
        <v>110</v>
      </c>
      <c r="P54" s="1" t="s">
        <v>102</v>
      </c>
      <c r="Q54" s="1" t="s">
        <v>101</v>
      </c>
      <c r="R54" s="1" t="s">
        <v>114</v>
      </c>
      <c r="S54" s="1" t="s">
        <v>102</v>
      </c>
      <c r="T54" s="1" t="str" cm="1">
        <f t="array" ref="T54">"9'b" &amp; _xlfn.XLOOKUP(TRIM(D$3)&amp;"", Mapping!$D$2:$D$9&amp;"", Mapping!$E$2:$E$9, "NOT_FOUND") &amp; "_" &amp; $C54 &amp; ": return {" &amp; _xlfn.TEXTJOIN(", ", TRUE, _xlfn.XLOOKUP(TRIM(D54:G54)&amp;"", Mapping!$A$2:$A$6&amp;"", Mapping!$B$2:$B$6, "NOT_FOUND")) &amp; "}; //  " &amp; D54 &amp; ",  " &amp; E54 &amp; ",  " &amp; F54 &amp; ",  " &amp; G54</f>
        <v>9'b100_110010: return {3'b000, 3'b010, 3'b110, 3'b001}; //  0,  +2,  -2,  +1</v>
      </c>
      <c r="U54" s="1" t="str" cm="1">
        <f t="array" ref="U54">"9'b"&amp; _xlfn.XLOOKUP(--TRIM(H$3),--Mapping!$D$2:$D$9,Mapping!$E$2:$E$9) &amp; "_" &amp; $C54 &amp; ": return " &amp; "{" &amp; _xlfn.TEXTJOIN(", ", TRUE, _xlfn.XLOOKUP(--TRIM(H54:K54), --Mapping!$A$2:$A$6, Mapping!$B$2:$B$6)) &amp; "}" &amp; "; //  " &amp; H54 &amp; ",  "  &amp; I54 &amp; ",  "  &amp; J54 &amp; ",  "  &amp; K54</f>
        <v>9'b110_110010: return {3'b000, 3'b010, 3'b111, 3'b000}; //  0,  +2,  -1,  0</v>
      </c>
      <c r="V54" s="1" t="str" cm="1">
        <f t="array" ref="V54">"9'b"&amp; _xlfn.XLOOKUP(--TRIM(L$3),--Mapping!$D$2:$D$9,Mapping!$E$2:$E$9) &amp; "_" &amp; $C54 &amp; ": return " &amp; "{" &amp; _xlfn.TEXTJOIN(", ", TRUE, _xlfn.XLOOKUP(--TRIM(L54:O54), --Mapping!$A$2:$A$6, Mapping!$B$2:$B$6)) &amp; "}" &amp; "; //  " &amp; L54 &amp; ",  "  &amp; M54 &amp; ",  "  &amp; N54 &amp; ",  "  &amp; O54</f>
        <v>9'b101_110010: return {3'b001, 3'b010, 3'b110, 3'b000}; //  +1,  +2,  -2,  0</v>
      </c>
      <c r="W54" s="1" t="str" cm="1">
        <f t="array" ref="W54">"9'b"&amp; _xlfn.XLOOKUP(--TRIM(P$3),--Mapping!$D$2:$D$9,Mapping!$E$2:$E$9) &amp; "_" &amp; $C54 &amp; ": return " &amp; "{" &amp; _xlfn.TEXTJOIN(", ", TRUE, _xlfn.XLOOKUP(--TRIM(P54:S54), --Mapping!$A$2:$A$6, Mapping!$B$2:$B$6)) &amp; "}" &amp; "; //  " &amp; P54 &amp; ",  "  &amp; Q54 &amp; ",  "  &amp; R54 &amp; ",  "  &amp; S54</f>
        <v>9'b111_110010: return {3'b001, 3'b010, 3'b111, 3'b001}; //  +1,  +2,  -1,  +1</v>
      </c>
    </row>
    <row r="55" spans="1:23" x14ac:dyDescent="0.25">
      <c r="A55" s="1" t="s">
        <v>246</v>
      </c>
      <c r="B55" s="1" t="s">
        <v>108</v>
      </c>
      <c r="C55" s="1" t="s">
        <v>163</v>
      </c>
      <c r="D55" s="1" t="s">
        <v>112</v>
      </c>
      <c r="E55" s="1" t="s">
        <v>101</v>
      </c>
      <c r="F55" s="1" t="s">
        <v>112</v>
      </c>
      <c r="G55" s="1" t="s">
        <v>102</v>
      </c>
      <c r="H55" s="1" t="s">
        <v>112</v>
      </c>
      <c r="I55" s="1" t="s">
        <v>101</v>
      </c>
      <c r="J55" s="1" t="s">
        <v>114</v>
      </c>
      <c r="K55" s="1" t="s">
        <v>110</v>
      </c>
      <c r="L55" s="1" t="s">
        <v>114</v>
      </c>
      <c r="M55" s="1" t="s">
        <v>101</v>
      </c>
      <c r="N55" s="1" t="s">
        <v>112</v>
      </c>
      <c r="O55" s="1" t="s">
        <v>110</v>
      </c>
      <c r="P55" s="1" t="s">
        <v>114</v>
      </c>
      <c r="Q55" s="1" t="s">
        <v>101</v>
      </c>
      <c r="R55" s="1" t="s">
        <v>114</v>
      </c>
      <c r="S55" s="1" t="s">
        <v>102</v>
      </c>
      <c r="T55" s="1" t="str" cm="1">
        <f t="array" ref="T55">"9'b" &amp; _xlfn.XLOOKUP(TRIM(D$3)&amp;"", Mapping!$D$2:$D$9&amp;"", Mapping!$E$2:$E$9, "NOT_FOUND") &amp; "_" &amp; $C55 &amp; ": return {" &amp; _xlfn.TEXTJOIN(", ", TRUE, _xlfn.XLOOKUP(TRIM(D55:G55)&amp;"", Mapping!$A$2:$A$6&amp;"", Mapping!$B$2:$B$6, "NOT_FOUND")) &amp; "}; //  " &amp; D55 &amp; ",  " &amp; E55 &amp; ",  " &amp; F55 &amp; ",  " &amp; G55</f>
        <v>9'b100_110011: return {3'b110, 3'b010, 3'b110, 3'b001}; //  -2,  +2,  -2,  +1</v>
      </c>
      <c r="U55" s="1" t="str" cm="1">
        <f t="array" ref="U55">"9'b"&amp; _xlfn.XLOOKUP(--TRIM(H$3),--Mapping!$D$2:$D$9,Mapping!$E$2:$E$9) &amp; "_" &amp; $C55 &amp; ": return " &amp; "{" &amp; _xlfn.TEXTJOIN(", ", TRUE, _xlfn.XLOOKUP(--TRIM(H55:K55), --Mapping!$A$2:$A$6, Mapping!$B$2:$B$6)) &amp; "}" &amp; "; //  " &amp; H55 &amp; ",  "  &amp; I55 &amp; ",  "  &amp; J55 &amp; ",  "  &amp; K55</f>
        <v>9'b110_110011: return {3'b110, 3'b010, 3'b111, 3'b000}; //  -2,  +2,  -1,  0</v>
      </c>
      <c r="V55" s="1" t="str" cm="1">
        <f t="array" ref="V55">"9'b"&amp; _xlfn.XLOOKUP(--TRIM(L$3),--Mapping!$D$2:$D$9,Mapping!$E$2:$E$9) &amp; "_" &amp; $C55 &amp; ": return " &amp; "{" &amp; _xlfn.TEXTJOIN(", ", TRUE, _xlfn.XLOOKUP(--TRIM(L55:O55), --Mapping!$A$2:$A$6, Mapping!$B$2:$B$6)) &amp; "}" &amp; "; //  " &amp; L55 &amp; ",  "  &amp; M55 &amp; ",  "  &amp; N55 &amp; ",  "  &amp; O55</f>
        <v>9'b101_110011: return {3'b111, 3'b010, 3'b110, 3'b000}; //  -1,  +2,  -2,  0</v>
      </c>
      <c r="W55" s="1" t="str" cm="1">
        <f t="array" ref="W55">"9'b"&amp; _xlfn.XLOOKUP(--TRIM(P$3),--Mapping!$D$2:$D$9,Mapping!$E$2:$E$9) &amp; "_" &amp; $C55 &amp; ": return " &amp; "{" &amp; _xlfn.TEXTJOIN(", ", TRUE, _xlfn.XLOOKUP(--TRIM(P55:S55), --Mapping!$A$2:$A$6, Mapping!$B$2:$B$6)) &amp; "}" &amp; "; //  " &amp; P55 &amp; ",  "  &amp; Q55 &amp; ",  "  &amp; R55 &amp; ",  "  &amp; S55</f>
        <v>9'b111_110011: return {3'b111, 3'b010, 3'b111, 3'b001}; //  -1,  +2,  -1,  +1</v>
      </c>
    </row>
    <row r="56" spans="1:23" x14ac:dyDescent="0.25">
      <c r="A56" s="1" t="s">
        <v>247</v>
      </c>
      <c r="B56" s="1" t="s">
        <v>108</v>
      </c>
      <c r="C56" s="1" t="s">
        <v>164</v>
      </c>
      <c r="D56" s="1" t="s">
        <v>110</v>
      </c>
      <c r="E56" s="1" t="s">
        <v>101</v>
      </c>
      <c r="F56" s="1" t="s">
        <v>110</v>
      </c>
      <c r="G56" s="1" t="s">
        <v>114</v>
      </c>
      <c r="H56" s="1" t="s">
        <v>110</v>
      </c>
      <c r="I56" s="1" t="s">
        <v>101</v>
      </c>
      <c r="J56" s="1" t="s">
        <v>102</v>
      </c>
      <c r="K56" s="1" t="s">
        <v>112</v>
      </c>
      <c r="L56" s="1" t="s">
        <v>102</v>
      </c>
      <c r="M56" s="1" t="s">
        <v>101</v>
      </c>
      <c r="N56" s="1" t="s">
        <v>110</v>
      </c>
      <c r="O56" s="1" t="s">
        <v>112</v>
      </c>
      <c r="P56" s="1" t="s">
        <v>102</v>
      </c>
      <c r="Q56" s="1" t="s">
        <v>101</v>
      </c>
      <c r="R56" s="1" t="s">
        <v>102</v>
      </c>
      <c r="S56" s="1" t="s">
        <v>114</v>
      </c>
      <c r="T56" s="1" t="str" cm="1">
        <f t="array" ref="T56">"9'b" &amp; _xlfn.XLOOKUP(TRIM(D$3)&amp;"", Mapping!$D$2:$D$9&amp;"", Mapping!$E$2:$E$9, "NOT_FOUND") &amp; "_" &amp; $C56 &amp; ": return {" &amp; _xlfn.TEXTJOIN(", ", TRUE, _xlfn.XLOOKUP(TRIM(D56:G56)&amp;"", Mapping!$A$2:$A$6&amp;"", Mapping!$B$2:$B$6, "NOT_FOUND")) &amp; "}; //  " &amp; D56 &amp; ",  " &amp; E56 &amp; ",  " &amp; F56 &amp; ",  " &amp; G56</f>
        <v>9'b100_110100: return {3'b000, 3'b010, 3'b000, 3'b111}; //  0,  +2,  0,  -1</v>
      </c>
      <c r="U56" s="1" t="str" cm="1">
        <f t="array" ref="U56">"9'b"&amp; _xlfn.XLOOKUP(--TRIM(H$3),--Mapping!$D$2:$D$9,Mapping!$E$2:$E$9) &amp; "_" &amp; $C56 &amp; ": return " &amp; "{" &amp; _xlfn.TEXTJOIN(", ", TRUE, _xlfn.XLOOKUP(--TRIM(H56:K56), --Mapping!$A$2:$A$6, Mapping!$B$2:$B$6)) &amp; "}" &amp; "; //  " &amp; H56 &amp; ",  "  &amp; I56 &amp; ",  "  &amp; J56 &amp; ",  "  &amp; K56</f>
        <v>9'b110_110100: return {3'b000, 3'b010, 3'b001, 3'b110}; //  0,  +2,  +1,  -2</v>
      </c>
      <c r="V56" s="1" t="str" cm="1">
        <f t="array" ref="V56">"9'b"&amp; _xlfn.XLOOKUP(--TRIM(L$3),--Mapping!$D$2:$D$9,Mapping!$E$2:$E$9) &amp; "_" &amp; $C56 &amp; ": return " &amp; "{" &amp; _xlfn.TEXTJOIN(", ", TRUE, _xlfn.XLOOKUP(--TRIM(L56:O56), --Mapping!$A$2:$A$6, Mapping!$B$2:$B$6)) &amp; "}" &amp; "; //  " &amp; L56 &amp; ",  "  &amp; M56 &amp; ",  "  &amp; N56 &amp; ",  "  &amp; O56</f>
        <v>9'b101_110100: return {3'b001, 3'b010, 3'b000, 3'b110}; //  +1,  +2,  0,  -2</v>
      </c>
      <c r="W56" s="1" t="str" cm="1">
        <f t="array" ref="W56">"9'b"&amp; _xlfn.XLOOKUP(--TRIM(P$3),--Mapping!$D$2:$D$9,Mapping!$E$2:$E$9) &amp; "_" &amp; $C56 &amp; ": return " &amp; "{" &amp; _xlfn.TEXTJOIN(", ", TRUE, _xlfn.XLOOKUP(--TRIM(P56:S56), --Mapping!$A$2:$A$6, Mapping!$B$2:$B$6)) &amp; "}" &amp; "; //  " &amp; P56 &amp; ",  "  &amp; Q56 &amp; ",  "  &amp; R56 &amp; ",  "  &amp; S56</f>
        <v>9'b111_110100: return {3'b001, 3'b010, 3'b001, 3'b111}; //  +1,  +2,  +1,  -1</v>
      </c>
    </row>
    <row r="57" spans="1:23" x14ac:dyDescent="0.25">
      <c r="A57" s="1" t="s">
        <v>248</v>
      </c>
      <c r="B57" s="1" t="s">
        <v>108</v>
      </c>
      <c r="C57" s="1" t="s">
        <v>165</v>
      </c>
      <c r="D57" s="1" t="s">
        <v>112</v>
      </c>
      <c r="E57" s="1" t="s">
        <v>101</v>
      </c>
      <c r="F57" s="1" t="s">
        <v>110</v>
      </c>
      <c r="G57" s="1" t="s">
        <v>114</v>
      </c>
      <c r="H57" s="1" t="s">
        <v>112</v>
      </c>
      <c r="I57" s="1" t="s">
        <v>101</v>
      </c>
      <c r="J57" s="1" t="s">
        <v>102</v>
      </c>
      <c r="K57" s="1" t="s">
        <v>112</v>
      </c>
      <c r="L57" s="1" t="s">
        <v>114</v>
      </c>
      <c r="M57" s="1" t="s">
        <v>101</v>
      </c>
      <c r="N57" s="1" t="s">
        <v>110</v>
      </c>
      <c r="O57" s="1" t="s">
        <v>112</v>
      </c>
      <c r="P57" s="1" t="s">
        <v>114</v>
      </c>
      <c r="Q57" s="1" t="s">
        <v>101</v>
      </c>
      <c r="R57" s="1" t="s">
        <v>102</v>
      </c>
      <c r="S57" s="1" t="s">
        <v>114</v>
      </c>
      <c r="T57" s="1" t="str" cm="1">
        <f t="array" ref="T57">"9'b" &amp; _xlfn.XLOOKUP(TRIM(D$3)&amp;"", Mapping!$D$2:$D$9&amp;"", Mapping!$E$2:$E$9, "NOT_FOUND") &amp; "_" &amp; $C57 &amp; ": return {" &amp; _xlfn.TEXTJOIN(", ", TRUE, _xlfn.XLOOKUP(TRIM(D57:G57)&amp;"", Mapping!$A$2:$A$6&amp;"", Mapping!$B$2:$B$6, "NOT_FOUND")) &amp; "}; //  " &amp; D57 &amp; ",  " &amp; E57 &amp; ",  " &amp; F57 &amp; ",  " &amp; G57</f>
        <v>9'b100_110101: return {3'b110, 3'b010, 3'b000, 3'b111}; //  -2,  +2,  0,  -1</v>
      </c>
      <c r="U57" s="1" t="str" cm="1">
        <f t="array" ref="U57">"9'b"&amp; _xlfn.XLOOKUP(--TRIM(H$3),--Mapping!$D$2:$D$9,Mapping!$E$2:$E$9) &amp; "_" &amp; $C57 &amp; ": return " &amp; "{" &amp; _xlfn.TEXTJOIN(", ", TRUE, _xlfn.XLOOKUP(--TRIM(H57:K57), --Mapping!$A$2:$A$6, Mapping!$B$2:$B$6)) &amp; "}" &amp; "; //  " &amp; H57 &amp; ",  "  &amp; I57 &amp; ",  "  &amp; J57 &amp; ",  "  &amp; K57</f>
        <v>9'b110_110101: return {3'b110, 3'b010, 3'b001, 3'b110}; //  -2,  +2,  +1,  -2</v>
      </c>
      <c r="V57" s="1" t="str" cm="1">
        <f t="array" ref="V57">"9'b"&amp; _xlfn.XLOOKUP(--TRIM(L$3),--Mapping!$D$2:$D$9,Mapping!$E$2:$E$9) &amp; "_" &amp; $C57 &amp; ": return " &amp; "{" &amp; _xlfn.TEXTJOIN(", ", TRUE, _xlfn.XLOOKUP(--TRIM(L57:O57), --Mapping!$A$2:$A$6, Mapping!$B$2:$B$6)) &amp; "}" &amp; "; //  " &amp; L57 &amp; ",  "  &amp; M57 &amp; ",  "  &amp; N57 &amp; ",  "  &amp; O57</f>
        <v>9'b101_110101: return {3'b111, 3'b010, 3'b000, 3'b110}; //  -1,  +2,  0,  -2</v>
      </c>
      <c r="W57" s="1" t="str" cm="1">
        <f t="array" ref="W57">"9'b"&amp; _xlfn.XLOOKUP(--TRIM(P$3),--Mapping!$D$2:$D$9,Mapping!$E$2:$E$9) &amp; "_" &amp; $C57 &amp; ": return " &amp; "{" &amp; _xlfn.TEXTJOIN(", ", TRUE, _xlfn.XLOOKUP(--TRIM(P57:S57), --Mapping!$A$2:$A$6, Mapping!$B$2:$B$6)) &amp; "}" &amp; "; //  " &amp; P57 &amp; ",  "  &amp; Q57 &amp; ",  "  &amp; R57 &amp; ",  "  &amp; S57</f>
        <v>9'b111_110101: return {3'b111, 3'b010, 3'b001, 3'b111}; //  -1,  +2,  +1,  -1</v>
      </c>
    </row>
    <row r="58" spans="1:23" x14ac:dyDescent="0.25">
      <c r="A58" s="1" t="s">
        <v>249</v>
      </c>
      <c r="B58" s="1" t="s">
        <v>108</v>
      </c>
      <c r="C58" s="1" t="s">
        <v>166</v>
      </c>
      <c r="D58" s="1" t="s">
        <v>110</v>
      </c>
      <c r="E58" s="1" t="s">
        <v>101</v>
      </c>
      <c r="F58" s="1" t="s">
        <v>112</v>
      </c>
      <c r="G58" s="1" t="s">
        <v>114</v>
      </c>
      <c r="H58" s="1" t="s">
        <v>110</v>
      </c>
      <c r="I58" s="1" t="s">
        <v>101</v>
      </c>
      <c r="J58" s="1" t="s">
        <v>114</v>
      </c>
      <c r="K58" s="1" t="s">
        <v>112</v>
      </c>
      <c r="L58" s="1" t="s">
        <v>102</v>
      </c>
      <c r="M58" s="1" t="s">
        <v>101</v>
      </c>
      <c r="N58" s="1" t="s">
        <v>112</v>
      </c>
      <c r="O58" s="1" t="s">
        <v>112</v>
      </c>
      <c r="P58" s="1" t="s">
        <v>102</v>
      </c>
      <c r="Q58" s="1" t="s">
        <v>101</v>
      </c>
      <c r="R58" s="1" t="s">
        <v>114</v>
      </c>
      <c r="S58" s="1" t="s">
        <v>114</v>
      </c>
      <c r="T58" s="1" t="str" cm="1">
        <f t="array" ref="T58">"9'b" &amp; _xlfn.XLOOKUP(TRIM(D$3)&amp;"", Mapping!$D$2:$D$9&amp;"", Mapping!$E$2:$E$9, "NOT_FOUND") &amp; "_" &amp; $C58 &amp; ": return {" &amp; _xlfn.TEXTJOIN(", ", TRUE, _xlfn.XLOOKUP(TRIM(D58:G58)&amp;"", Mapping!$A$2:$A$6&amp;"", Mapping!$B$2:$B$6, "NOT_FOUND")) &amp; "}; //  " &amp; D58 &amp; ",  " &amp; E58 &amp; ",  " &amp; F58 &amp; ",  " &amp; G58</f>
        <v>9'b100_110110: return {3'b000, 3'b010, 3'b110, 3'b111}; //  0,  +2,  -2,  -1</v>
      </c>
      <c r="U58" s="1" t="str" cm="1">
        <f t="array" ref="U58">"9'b"&amp; _xlfn.XLOOKUP(--TRIM(H$3),--Mapping!$D$2:$D$9,Mapping!$E$2:$E$9) &amp; "_" &amp; $C58 &amp; ": return " &amp; "{" &amp; _xlfn.TEXTJOIN(", ", TRUE, _xlfn.XLOOKUP(--TRIM(H58:K58), --Mapping!$A$2:$A$6, Mapping!$B$2:$B$6)) &amp; "}" &amp; "; //  " &amp; H58 &amp; ",  "  &amp; I58 &amp; ",  "  &amp; J58 &amp; ",  "  &amp; K58</f>
        <v>9'b110_110110: return {3'b000, 3'b010, 3'b111, 3'b110}; //  0,  +2,  -1,  -2</v>
      </c>
      <c r="V58" s="1" t="str" cm="1">
        <f t="array" ref="V58">"9'b"&amp; _xlfn.XLOOKUP(--TRIM(L$3),--Mapping!$D$2:$D$9,Mapping!$E$2:$E$9) &amp; "_" &amp; $C58 &amp; ": return " &amp; "{" &amp; _xlfn.TEXTJOIN(", ", TRUE, _xlfn.XLOOKUP(--TRIM(L58:O58), --Mapping!$A$2:$A$6, Mapping!$B$2:$B$6)) &amp; "}" &amp; "; //  " &amp; L58 &amp; ",  "  &amp; M58 &amp; ",  "  &amp; N58 &amp; ",  "  &amp; O58</f>
        <v>9'b101_110110: return {3'b001, 3'b010, 3'b110, 3'b110}; //  +1,  +2,  -2,  -2</v>
      </c>
      <c r="W58" s="1" t="str" cm="1">
        <f t="array" ref="W58">"9'b"&amp; _xlfn.XLOOKUP(--TRIM(P$3),--Mapping!$D$2:$D$9,Mapping!$E$2:$E$9) &amp; "_" &amp; $C58 &amp; ": return " &amp; "{" &amp; _xlfn.TEXTJOIN(", ", TRUE, _xlfn.XLOOKUP(--TRIM(P58:S58), --Mapping!$A$2:$A$6, Mapping!$B$2:$B$6)) &amp; "}" &amp; "; //  " &amp; P58 &amp; ",  "  &amp; Q58 &amp; ",  "  &amp; R58 &amp; ",  "  &amp; S58</f>
        <v>9'b111_110110: return {3'b001, 3'b010, 3'b111, 3'b111}; //  +1,  +2,  -1,  -1</v>
      </c>
    </row>
    <row r="59" spans="1:23" x14ac:dyDescent="0.25">
      <c r="A59" s="1" t="s">
        <v>250</v>
      </c>
      <c r="B59" s="1" t="s">
        <v>108</v>
      </c>
      <c r="C59" s="1" t="s">
        <v>167</v>
      </c>
      <c r="D59" s="1" t="s">
        <v>112</v>
      </c>
      <c r="E59" s="1" t="s">
        <v>101</v>
      </c>
      <c r="F59" s="1" t="s">
        <v>112</v>
      </c>
      <c r="G59" s="1" t="s">
        <v>114</v>
      </c>
      <c r="H59" s="1" t="s">
        <v>112</v>
      </c>
      <c r="I59" s="1" t="s">
        <v>101</v>
      </c>
      <c r="J59" s="1" t="s">
        <v>114</v>
      </c>
      <c r="K59" s="1" t="s">
        <v>112</v>
      </c>
      <c r="L59" s="1" t="s">
        <v>114</v>
      </c>
      <c r="M59" s="1" t="s">
        <v>101</v>
      </c>
      <c r="N59" s="1" t="s">
        <v>112</v>
      </c>
      <c r="O59" s="1" t="s">
        <v>112</v>
      </c>
      <c r="P59" s="1" t="s">
        <v>114</v>
      </c>
      <c r="Q59" s="1" t="s">
        <v>101</v>
      </c>
      <c r="R59" s="1" t="s">
        <v>114</v>
      </c>
      <c r="S59" s="1" t="s">
        <v>114</v>
      </c>
      <c r="T59" s="1" t="str" cm="1">
        <f t="array" ref="T59">"9'b" &amp; _xlfn.XLOOKUP(TRIM(D$3)&amp;"", Mapping!$D$2:$D$9&amp;"", Mapping!$E$2:$E$9, "NOT_FOUND") &amp; "_" &amp; $C59 &amp; ": return {" &amp; _xlfn.TEXTJOIN(", ", TRUE, _xlfn.XLOOKUP(TRIM(D59:G59)&amp;"", Mapping!$A$2:$A$6&amp;"", Mapping!$B$2:$B$6, "NOT_FOUND")) &amp; "}; //  " &amp; D59 &amp; ",  " &amp; E59 &amp; ",  " &amp; F59 &amp; ",  " &amp; G59</f>
        <v>9'b100_110111: return {3'b110, 3'b010, 3'b110, 3'b111}; //  -2,  +2,  -2,  -1</v>
      </c>
      <c r="U59" s="1" t="str" cm="1">
        <f t="array" ref="U59">"9'b"&amp; _xlfn.XLOOKUP(--TRIM(H$3),--Mapping!$D$2:$D$9,Mapping!$E$2:$E$9) &amp; "_" &amp; $C59 &amp; ": return " &amp; "{" &amp; _xlfn.TEXTJOIN(", ", TRUE, _xlfn.XLOOKUP(--TRIM(H59:K59), --Mapping!$A$2:$A$6, Mapping!$B$2:$B$6)) &amp; "}" &amp; "; //  " &amp; H59 &amp; ",  "  &amp; I59 &amp; ",  "  &amp; J59 &amp; ",  "  &amp; K59</f>
        <v>9'b110_110111: return {3'b110, 3'b010, 3'b111, 3'b110}; //  -2,  +2,  -1,  -2</v>
      </c>
      <c r="V59" s="1" t="str" cm="1">
        <f t="array" ref="V59">"9'b"&amp; _xlfn.XLOOKUP(--TRIM(L$3),--Mapping!$D$2:$D$9,Mapping!$E$2:$E$9) &amp; "_" &amp; $C59 &amp; ": return " &amp; "{" &amp; _xlfn.TEXTJOIN(", ", TRUE, _xlfn.XLOOKUP(--TRIM(L59:O59), --Mapping!$A$2:$A$6, Mapping!$B$2:$B$6)) &amp; "}" &amp; "; //  " &amp; L59 &amp; ",  "  &amp; M59 &amp; ",  "  &amp; N59 &amp; ",  "  &amp; O59</f>
        <v>9'b101_110111: return {3'b111, 3'b010, 3'b110, 3'b110}; //  -1,  +2,  -2,  -2</v>
      </c>
      <c r="W59" s="1" t="str" cm="1">
        <f t="array" ref="W59">"9'b"&amp; _xlfn.XLOOKUP(--TRIM(P$3),--Mapping!$D$2:$D$9,Mapping!$E$2:$E$9) &amp; "_" &amp; $C59 &amp; ": return " &amp; "{" &amp; _xlfn.TEXTJOIN(", ", TRUE, _xlfn.XLOOKUP(--TRIM(P59:S59), --Mapping!$A$2:$A$6, Mapping!$B$2:$B$6)) &amp; "}" &amp; "; //  " &amp; P59 &amp; ",  "  &amp; Q59 &amp; ",  "  &amp; R59 &amp; ",  "  &amp; S59</f>
        <v>9'b111_110111: return {3'b111, 3'b010, 3'b111, 3'b111}; //  -1,  +2,  -1,  -1</v>
      </c>
    </row>
    <row r="60" spans="1:23" x14ac:dyDescent="0.25">
      <c r="A60" s="1" t="s">
        <v>251</v>
      </c>
      <c r="B60" s="1" t="s">
        <v>108</v>
      </c>
      <c r="C60" s="1" t="s">
        <v>168</v>
      </c>
      <c r="D60" s="1" t="s">
        <v>102</v>
      </c>
      <c r="E60" s="1" t="s">
        <v>102</v>
      </c>
      <c r="F60" s="1" t="s">
        <v>102</v>
      </c>
      <c r="G60" s="1" t="s">
        <v>101</v>
      </c>
      <c r="H60" s="1" t="s">
        <v>110</v>
      </c>
      <c r="I60" s="1" t="s">
        <v>110</v>
      </c>
      <c r="J60" s="1" t="s">
        <v>102</v>
      </c>
      <c r="K60" s="1" t="s">
        <v>101</v>
      </c>
      <c r="L60" s="1" t="s">
        <v>102</v>
      </c>
      <c r="M60" s="1" t="s">
        <v>110</v>
      </c>
      <c r="N60" s="1" t="s">
        <v>110</v>
      </c>
      <c r="O60" s="1" t="s">
        <v>101</v>
      </c>
      <c r="P60" s="1" t="s">
        <v>110</v>
      </c>
      <c r="Q60" s="1" t="s">
        <v>102</v>
      </c>
      <c r="R60" s="1" t="s">
        <v>110</v>
      </c>
      <c r="S60" s="1" t="s">
        <v>101</v>
      </c>
      <c r="T60" s="1" t="str" cm="1">
        <f t="array" ref="T60">"9'b" &amp; _xlfn.XLOOKUP(TRIM(D$3)&amp;"", Mapping!$D$2:$D$9&amp;"", Mapping!$E$2:$E$9, "NOT_FOUND") &amp; "_" &amp; $C60 &amp; ": return {" &amp; _xlfn.TEXTJOIN(", ", TRUE, _xlfn.XLOOKUP(TRIM(D60:G60)&amp;"", Mapping!$A$2:$A$6&amp;"", Mapping!$B$2:$B$6, "NOT_FOUND")) &amp; "}; //  " &amp; D60 &amp; ",  " &amp; E60 &amp; ",  " &amp; F60 &amp; ",  " &amp; G60</f>
        <v>9'b100_111000: return {3'b001, 3'b001, 3'b001, 3'b010}; //  +1,  +1,  +1,  +2</v>
      </c>
      <c r="U60" s="1" t="str" cm="1">
        <f t="array" ref="U60">"9'b"&amp; _xlfn.XLOOKUP(--TRIM(H$3),--Mapping!$D$2:$D$9,Mapping!$E$2:$E$9) &amp; "_" &amp; $C60 &amp; ": return " &amp; "{" &amp; _xlfn.TEXTJOIN(", ", TRUE, _xlfn.XLOOKUP(--TRIM(H60:K60), --Mapping!$A$2:$A$6, Mapping!$B$2:$B$6)) &amp; "}" &amp; "; //  " &amp; H60 &amp; ",  "  &amp; I60 &amp; ",  "  &amp; J60 &amp; ",  "  &amp; K60</f>
        <v>9'b110_111000: return {3'b000, 3'b000, 3'b001, 3'b010}; //  0,  0,  +1,  +2</v>
      </c>
      <c r="V60" s="1" t="str" cm="1">
        <f t="array" ref="V60">"9'b"&amp; _xlfn.XLOOKUP(--TRIM(L$3),--Mapping!$D$2:$D$9,Mapping!$E$2:$E$9) &amp; "_" &amp; $C60 &amp; ": return " &amp; "{" &amp; _xlfn.TEXTJOIN(", ", TRUE, _xlfn.XLOOKUP(--TRIM(L60:O60), --Mapping!$A$2:$A$6, Mapping!$B$2:$B$6)) &amp; "}" &amp; "; //  " &amp; L60 &amp; ",  "  &amp; M60 &amp; ",  "  &amp; N60 &amp; ",  "  &amp; O60</f>
        <v>9'b101_111000: return {3'b001, 3'b000, 3'b000, 3'b010}; //  +1,  0,  0,  +2</v>
      </c>
      <c r="W60" s="1" t="str" cm="1">
        <f t="array" ref="W60">"9'b"&amp; _xlfn.XLOOKUP(--TRIM(P$3),--Mapping!$D$2:$D$9,Mapping!$E$2:$E$9) &amp; "_" &amp; $C60 &amp; ": return " &amp; "{" &amp; _xlfn.TEXTJOIN(", ", TRUE, _xlfn.XLOOKUP(--TRIM(P60:S60), --Mapping!$A$2:$A$6, Mapping!$B$2:$B$6)) &amp; "}" &amp; "; //  " &amp; P60 &amp; ",  "  &amp; Q60 &amp; ",  "  &amp; R60 &amp; ",  "  &amp; S60</f>
        <v>9'b111_111000: return {3'b000, 3'b001, 3'b000, 3'b010}; //  0,  +1,  0,  +2</v>
      </c>
    </row>
    <row r="61" spans="1:23" x14ac:dyDescent="0.25">
      <c r="A61" s="1" t="s">
        <v>252</v>
      </c>
      <c r="B61" s="1" t="s">
        <v>108</v>
      </c>
      <c r="C61" s="1" t="s">
        <v>169</v>
      </c>
      <c r="D61" s="1" t="s">
        <v>114</v>
      </c>
      <c r="E61" s="1" t="s">
        <v>102</v>
      </c>
      <c r="F61" s="1" t="s">
        <v>102</v>
      </c>
      <c r="G61" s="1" t="s">
        <v>101</v>
      </c>
      <c r="H61" s="1" t="s">
        <v>112</v>
      </c>
      <c r="I61" s="1" t="s">
        <v>110</v>
      </c>
      <c r="J61" s="1" t="s">
        <v>102</v>
      </c>
      <c r="K61" s="1" t="s">
        <v>101</v>
      </c>
      <c r="L61" s="1" t="s">
        <v>114</v>
      </c>
      <c r="M61" s="1" t="s">
        <v>110</v>
      </c>
      <c r="N61" s="1" t="s">
        <v>110</v>
      </c>
      <c r="O61" s="1" t="s">
        <v>101</v>
      </c>
      <c r="P61" s="1" t="s">
        <v>112</v>
      </c>
      <c r="Q61" s="1" t="s">
        <v>102</v>
      </c>
      <c r="R61" s="1" t="s">
        <v>110</v>
      </c>
      <c r="S61" s="1" t="s">
        <v>101</v>
      </c>
      <c r="T61" s="1" t="str" cm="1">
        <f t="array" ref="T61">"9'b" &amp; _xlfn.XLOOKUP(TRIM(D$3)&amp;"", Mapping!$D$2:$D$9&amp;"", Mapping!$E$2:$E$9, "NOT_FOUND") &amp; "_" &amp; $C61 &amp; ": return {" &amp; _xlfn.TEXTJOIN(", ", TRUE, _xlfn.XLOOKUP(TRIM(D61:G61)&amp;"", Mapping!$A$2:$A$6&amp;"", Mapping!$B$2:$B$6, "NOT_FOUND")) &amp; "}; //  " &amp; D61 &amp; ",  " &amp; E61 &amp; ",  " &amp; F61 &amp; ",  " &amp; G61</f>
        <v>9'b100_111001: return {3'b111, 3'b001, 3'b001, 3'b010}; //  -1,  +1,  +1,  +2</v>
      </c>
      <c r="U61" s="1" t="str" cm="1">
        <f t="array" ref="U61">"9'b"&amp; _xlfn.XLOOKUP(--TRIM(H$3),--Mapping!$D$2:$D$9,Mapping!$E$2:$E$9) &amp; "_" &amp; $C61 &amp; ": return " &amp; "{" &amp; _xlfn.TEXTJOIN(", ", TRUE, _xlfn.XLOOKUP(--TRIM(H61:K61), --Mapping!$A$2:$A$6, Mapping!$B$2:$B$6)) &amp; "}" &amp; "; //  " &amp; H61 &amp; ",  "  &amp; I61 &amp; ",  "  &amp; J61 &amp; ",  "  &amp; K61</f>
        <v>9'b110_111001: return {3'b110, 3'b000, 3'b001, 3'b010}; //  -2,  0,  +1,  +2</v>
      </c>
      <c r="V61" s="1" t="str" cm="1">
        <f t="array" ref="V61">"9'b"&amp; _xlfn.XLOOKUP(--TRIM(L$3),--Mapping!$D$2:$D$9,Mapping!$E$2:$E$9) &amp; "_" &amp; $C61 &amp; ": return " &amp; "{" &amp; _xlfn.TEXTJOIN(", ", TRUE, _xlfn.XLOOKUP(--TRIM(L61:O61), --Mapping!$A$2:$A$6, Mapping!$B$2:$B$6)) &amp; "}" &amp; "; //  " &amp; L61 &amp; ",  "  &amp; M61 &amp; ",  "  &amp; N61 &amp; ",  "  &amp; O61</f>
        <v>9'b101_111001: return {3'b111, 3'b000, 3'b000, 3'b010}; //  -1,  0,  0,  +2</v>
      </c>
      <c r="W61" s="1" t="str" cm="1">
        <f t="array" ref="W61">"9'b"&amp; _xlfn.XLOOKUP(--TRIM(P$3),--Mapping!$D$2:$D$9,Mapping!$E$2:$E$9) &amp; "_" &amp; $C61 &amp; ": return " &amp; "{" &amp; _xlfn.TEXTJOIN(", ", TRUE, _xlfn.XLOOKUP(--TRIM(P61:S61), --Mapping!$A$2:$A$6, Mapping!$B$2:$B$6)) &amp; "}" &amp; "; //  " &amp; P61 &amp; ",  "  &amp; Q61 &amp; ",  "  &amp; R61 &amp; ",  "  &amp; S61</f>
        <v>9'b111_111001: return {3'b110, 3'b001, 3'b000, 3'b010}; //  -2,  +1,  0,  +2</v>
      </c>
    </row>
    <row r="62" spans="1:23" x14ac:dyDescent="0.25">
      <c r="A62" s="1" t="s">
        <v>253</v>
      </c>
      <c r="B62" s="1" t="s">
        <v>108</v>
      </c>
      <c r="C62" s="1" t="s">
        <v>170</v>
      </c>
      <c r="D62" s="1" t="s">
        <v>102</v>
      </c>
      <c r="E62" s="1" t="s">
        <v>114</v>
      </c>
      <c r="F62" s="1" t="s">
        <v>102</v>
      </c>
      <c r="G62" s="1" t="s">
        <v>101</v>
      </c>
      <c r="H62" s="1" t="s">
        <v>110</v>
      </c>
      <c r="I62" s="1" t="s">
        <v>112</v>
      </c>
      <c r="J62" s="1" t="s">
        <v>102</v>
      </c>
      <c r="K62" s="1" t="s">
        <v>101</v>
      </c>
      <c r="L62" s="1" t="s">
        <v>102</v>
      </c>
      <c r="M62" s="1" t="s">
        <v>112</v>
      </c>
      <c r="N62" s="1" t="s">
        <v>110</v>
      </c>
      <c r="O62" s="1" t="s">
        <v>101</v>
      </c>
      <c r="P62" s="1" t="s">
        <v>110</v>
      </c>
      <c r="Q62" s="1" t="s">
        <v>114</v>
      </c>
      <c r="R62" s="1" t="s">
        <v>110</v>
      </c>
      <c r="S62" s="1" t="s">
        <v>101</v>
      </c>
      <c r="T62" s="1" t="str" cm="1">
        <f t="array" ref="T62">"9'b" &amp; _xlfn.XLOOKUP(TRIM(D$3)&amp;"", Mapping!$D$2:$D$9&amp;"", Mapping!$E$2:$E$9, "NOT_FOUND") &amp; "_" &amp; $C62 &amp; ": return {" &amp; _xlfn.TEXTJOIN(", ", TRUE, _xlfn.XLOOKUP(TRIM(D62:G62)&amp;"", Mapping!$A$2:$A$6&amp;"", Mapping!$B$2:$B$6, "NOT_FOUND")) &amp; "}; //  " &amp; D62 &amp; ",  " &amp; E62 &amp; ",  " &amp; F62 &amp; ",  " &amp; G62</f>
        <v>9'b100_111010: return {3'b001, 3'b111, 3'b001, 3'b010}; //  +1,  -1,  +1,  +2</v>
      </c>
      <c r="U62" s="1" t="str" cm="1">
        <f t="array" ref="U62">"9'b"&amp; _xlfn.XLOOKUP(--TRIM(H$3),--Mapping!$D$2:$D$9,Mapping!$E$2:$E$9) &amp; "_" &amp; $C62 &amp; ": return " &amp; "{" &amp; _xlfn.TEXTJOIN(", ", TRUE, _xlfn.XLOOKUP(--TRIM(H62:K62), --Mapping!$A$2:$A$6, Mapping!$B$2:$B$6)) &amp; "}" &amp; "; //  " &amp; H62 &amp; ",  "  &amp; I62 &amp; ",  "  &amp; J62 &amp; ",  "  &amp; K62</f>
        <v>9'b110_111010: return {3'b000, 3'b110, 3'b001, 3'b010}; //  0,  -2,  +1,  +2</v>
      </c>
      <c r="V62" s="1" t="str" cm="1">
        <f t="array" ref="V62">"9'b"&amp; _xlfn.XLOOKUP(--TRIM(L$3),--Mapping!$D$2:$D$9,Mapping!$E$2:$E$9) &amp; "_" &amp; $C62 &amp; ": return " &amp; "{" &amp; _xlfn.TEXTJOIN(", ", TRUE, _xlfn.XLOOKUP(--TRIM(L62:O62), --Mapping!$A$2:$A$6, Mapping!$B$2:$B$6)) &amp; "}" &amp; "; //  " &amp; L62 &amp; ",  "  &amp; M62 &amp; ",  "  &amp; N62 &amp; ",  "  &amp; O62</f>
        <v>9'b101_111010: return {3'b001, 3'b110, 3'b000, 3'b010}; //  +1,  -2,  0,  +2</v>
      </c>
      <c r="W62" s="1" t="str" cm="1">
        <f t="array" ref="W62">"9'b"&amp; _xlfn.XLOOKUP(--TRIM(P$3),--Mapping!$D$2:$D$9,Mapping!$E$2:$E$9) &amp; "_" &amp; $C62 &amp; ": return " &amp; "{" &amp; _xlfn.TEXTJOIN(", ", TRUE, _xlfn.XLOOKUP(--TRIM(P62:S62), --Mapping!$A$2:$A$6, Mapping!$B$2:$B$6)) &amp; "}" &amp; "; //  " &amp; P62 &amp; ",  "  &amp; Q62 &amp; ",  "  &amp; R62 &amp; ",  "  &amp; S62</f>
        <v>9'b111_111010: return {3'b000, 3'b111, 3'b000, 3'b010}; //  0,  -1,  0,  +2</v>
      </c>
    </row>
    <row r="63" spans="1:23" x14ac:dyDescent="0.25">
      <c r="A63" s="1" t="s">
        <v>254</v>
      </c>
      <c r="B63" s="1" t="s">
        <v>108</v>
      </c>
      <c r="C63" s="1" t="s">
        <v>171</v>
      </c>
      <c r="D63" s="1" t="s">
        <v>114</v>
      </c>
      <c r="E63" s="1" t="s">
        <v>114</v>
      </c>
      <c r="F63" s="1" t="s">
        <v>102</v>
      </c>
      <c r="G63" s="1" t="s">
        <v>101</v>
      </c>
      <c r="H63" s="1" t="s">
        <v>112</v>
      </c>
      <c r="I63" s="1" t="s">
        <v>112</v>
      </c>
      <c r="J63" s="1" t="s">
        <v>102</v>
      </c>
      <c r="K63" s="1" t="s">
        <v>101</v>
      </c>
      <c r="L63" s="1" t="s">
        <v>114</v>
      </c>
      <c r="M63" s="1" t="s">
        <v>112</v>
      </c>
      <c r="N63" s="1" t="s">
        <v>110</v>
      </c>
      <c r="O63" s="1" t="s">
        <v>101</v>
      </c>
      <c r="P63" s="1" t="s">
        <v>112</v>
      </c>
      <c r="Q63" s="1" t="s">
        <v>114</v>
      </c>
      <c r="R63" s="1" t="s">
        <v>110</v>
      </c>
      <c r="S63" s="1" t="s">
        <v>101</v>
      </c>
      <c r="T63" s="1" t="str" cm="1">
        <f t="array" ref="T63">"9'b" &amp; _xlfn.XLOOKUP(TRIM(D$3)&amp;"", Mapping!$D$2:$D$9&amp;"", Mapping!$E$2:$E$9, "NOT_FOUND") &amp; "_" &amp; $C63 &amp; ": return {" &amp; _xlfn.TEXTJOIN(", ", TRUE, _xlfn.XLOOKUP(TRIM(D63:G63)&amp;"", Mapping!$A$2:$A$6&amp;"", Mapping!$B$2:$B$6, "NOT_FOUND")) &amp; "}; //  " &amp; D63 &amp; ",  " &amp; E63 &amp; ",  " &amp; F63 &amp; ",  " &amp; G63</f>
        <v>9'b100_111011: return {3'b111, 3'b111, 3'b001, 3'b010}; //  -1,  -1,  +1,  +2</v>
      </c>
      <c r="U63" s="1" t="str" cm="1">
        <f t="array" ref="U63">"9'b"&amp; _xlfn.XLOOKUP(--TRIM(H$3),--Mapping!$D$2:$D$9,Mapping!$E$2:$E$9) &amp; "_" &amp; $C63 &amp; ": return " &amp; "{" &amp; _xlfn.TEXTJOIN(", ", TRUE, _xlfn.XLOOKUP(--TRIM(H63:K63), --Mapping!$A$2:$A$6, Mapping!$B$2:$B$6)) &amp; "}" &amp; "; //  " &amp; H63 &amp; ",  "  &amp; I63 &amp; ",  "  &amp; J63 &amp; ",  "  &amp; K63</f>
        <v>9'b110_111011: return {3'b110, 3'b110, 3'b001, 3'b010}; //  -2,  -2,  +1,  +2</v>
      </c>
      <c r="V63" s="1" t="str" cm="1">
        <f t="array" ref="V63">"9'b"&amp; _xlfn.XLOOKUP(--TRIM(L$3),--Mapping!$D$2:$D$9,Mapping!$E$2:$E$9) &amp; "_" &amp; $C63 &amp; ": return " &amp; "{" &amp; _xlfn.TEXTJOIN(", ", TRUE, _xlfn.XLOOKUP(--TRIM(L63:O63), --Mapping!$A$2:$A$6, Mapping!$B$2:$B$6)) &amp; "}" &amp; "; //  " &amp; L63 &amp; ",  "  &amp; M63 &amp; ",  "  &amp; N63 &amp; ",  "  &amp; O63</f>
        <v>9'b101_111011: return {3'b111, 3'b110, 3'b000, 3'b010}; //  -1,  -2,  0,  +2</v>
      </c>
      <c r="W63" s="1" t="str" cm="1">
        <f t="array" ref="W63">"9'b"&amp; _xlfn.XLOOKUP(--TRIM(P$3),--Mapping!$D$2:$D$9,Mapping!$E$2:$E$9) &amp; "_" &amp; $C63 &amp; ": return " &amp; "{" &amp; _xlfn.TEXTJOIN(", ", TRUE, _xlfn.XLOOKUP(--TRIM(P63:S63), --Mapping!$A$2:$A$6, Mapping!$B$2:$B$6)) &amp; "}" &amp; "; //  " &amp; P63 &amp; ",  "  &amp; Q63 &amp; ",  "  &amp; R63 &amp; ",  "  &amp; S63</f>
        <v>9'b111_111011: return {3'b110, 3'b111, 3'b000, 3'b010}; //  -2,  -1,  0,  +2</v>
      </c>
    </row>
    <row r="64" spans="1:23" x14ac:dyDescent="0.25">
      <c r="A64" s="1" t="s">
        <v>255</v>
      </c>
      <c r="B64" s="1" t="s">
        <v>108</v>
      </c>
      <c r="C64" s="1" t="s">
        <v>172</v>
      </c>
      <c r="D64" s="1" t="s">
        <v>102</v>
      </c>
      <c r="E64" s="1" t="s">
        <v>102</v>
      </c>
      <c r="F64" s="1" t="s">
        <v>114</v>
      </c>
      <c r="G64" s="1" t="s">
        <v>101</v>
      </c>
      <c r="H64" s="1" t="s">
        <v>110</v>
      </c>
      <c r="I64" s="1" t="s">
        <v>110</v>
      </c>
      <c r="J64" s="1" t="s">
        <v>114</v>
      </c>
      <c r="K64" s="1" t="s">
        <v>101</v>
      </c>
      <c r="L64" s="1" t="s">
        <v>102</v>
      </c>
      <c r="M64" s="1" t="s">
        <v>110</v>
      </c>
      <c r="N64" s="1" t="s">
        <v>112</v>
      </c>
      <c r="O64" s="1" t="s">
        <v>101</v>
      </c>
      <c r="P64" s="1" t="s">
        <v>110</v>
      </c>
      <c r="Q64" s="1" t="s">
        <v>102</v>
      </c>
      <c r="R64" s="1" t="s">
        <v>112</v>
      </c>
      <c r="S64" s="1" t="s">
        <v>101</v>
      </c>
      <c r="T64" s="1" t="str" cm="1">
        <f t="array" ref="T64">"9'b" &amp; _xlfn.XLOOKUP(TRIM(D$3)&amp;"", Mapping!$D$2:$D$9&amp;"", Mapping!$E$2:$E$9, "NOT_FOUND") &amp; "_" &amp; $C64 &amp; ": return {" &amp; _xlfn.TEXTJOIN(", ", TRUE, _xlfn.XLOOKUP(TRIM(D64:G64)&amp;"", Mapping!$A$2:$A$6&amp;"", Mapping!$B$2:$B$6, "NOT_FOUND")) &amp; "}; //  " &amp; D64 &amp; ",  " &amp; E64 &amp; ",  " &amp; F64 &amp; ",  " &amp; G64</f>
        <v>9'b100_111100: return {3'b001, 3'b001, 3'b111, 3'b010}; //  +1,  +1,  -1,  +2</v>
      </c>
      <c r="U64" s="1" t="str" cm="1">
        <f t="array" ref="U64">"9'b"&amp; _xlfn.XLOOKUP(--TRIM(H$3),--Mapping!$D$2:$D$9,Mapping!$E$2:$E$9) &amp; "_" &amp; $C64 &amp; ": return " &amp; "{" &amp; _xlfn.TEXTJOIN(", ", TRUE, _xlfn.XLOOKUP(--TRIM(H64:K64), --Mapping!$A$2:$A$6, Mapping!$B$2:$B$6)) &amp; "}" &amp; "; //  " &amp; H64 &amp; ",  "  &amp; I64 &amp; ",  "  &amp; J64 &amp; ",  "  &amp; K64</f>
        <v>9'b110_111100: return {3'b000, 3'b000, 3'b111, 3'b010}; //  0,  0,  -1,  +2</v>
      </c>
      <c r="V64" s="1" t="str" cm="1">
        <f t="array" ref="V64">"9'b"&amp; _xlfn.XLOOKUP(--TRIM(L$3),--Mapping!$D$2:$D$9,Mapping!$E$2:$E$9) &amp; "_" &amp; $C64 &amp; ": return " &amp; "{" &amp; _xlfn.TEXTJOIN(", ", TRUE, _xlfn.XLOOKUP(--TRIM(L64:O64), --Mapping!$A$2:$A$6, Mapping!$B$2:$B$6)) &amp; "}" &amp; "; //  " &amp; L64 &amp; ",  "  &amp; M64 &amp; ",  "  &amp; N64 &amp; ",  "  &amp; O64</f>
        <v>9'b101_111100: return {3'b001, 3'b000, 3'b110, 3'b010}; //  +1,  0,  -2,  +2</v>
      </c>
      <c r="W64" s="1" t="str" cm="1">
        <f t="array" ref="W64">"9'b"&amp; _xlfn.XLOOKUP(--TRIM(P$3),--Mapping!$D$2:$D$9,Mapping!$E$2:$E$9) &amp; "_" &amp; $C64 &amp; ": return " &amp; "{" &amp; _xlfn.TEXTJOIN(", ", TRUE, _xlfn.XLOOKUP(--TRIM(P64:S64), --Mapping!$A$2:$A$6, Mapping!$B$2:$B$6)) &amp; "}" &amp; "; //  " &amp; P64 &amp; ",  "  &amp; Q64 &amp; ",  "  &amp; R64 &amp; ",  "  &amp; S64</f>
        <v>9'b111_111100: return {3'b000, 3'b001, 3'b110, 3'b010}; //  0,  +1,  -2,  +2</v>
      </c>
    </row>
    <row r="65" spans="1:23" x14ac:dyDescent="0.25">
      <c r="A65" s="1" t="s">
        <v>256</v>
      </c>
      <c r="B65" s="1" t="s">
        <v>108</v>
      </c>
      <c r="C65" s="1" t="s">
        <v>173</v>
      </c>
      <c r="D65" s="1" t="s">
        <v>114</v>
      </c>
      <c r="E65" s="1" t="s">
        <v>102</v>
      </c>
      <c r="F65" s="1" t="s">
        <v>114</v>
      </c>
      <c r="G65" s="1" t="s">
        <v>101</v>
      </c>
      <c r="H65" s="1" t="s">
        <v>112</v>
      </c>
      <c r="I65" s="1" t="s">
        <v>110</v>
      </c>
      <c r="J65" s="1" t="s">
        <v>114</v>
      </c>
      <c r="K65" s="1" t="s">
        <v>101</v>
      </c>
      <c r="L65" s="1" t="s">
        <v>114</v>
      </c>
      <c r="M65" s="1" t="s">
        <v>110</v>
      </c>
      <c r="N65" s="1" t="s">
        <v>112</v>
      </c>
      <c r="O65" s="1" t="s">
        <v>101</v>
      </c>
      <c r="P65" s="1" t="s">
        <v>112</v>
      </c>
      <c r="Q65" s="1" t="s">
        <v>102</v>
      </c>
      <c r="R65" s="1" t="s">
        <v>112</v>
      </c>
      <c r="S65" s="1" t="s">
        <v>101</v>
      </c>
      <c r="T65" s="1" t="str" cm="1">
        <f t="array" ref="T65">"9'b" &amp; _xlfn.XLOOKUP(TRIM(D$3)&amp;"", Mapping!$D$2:$D$9&amp;"", Mapping!$E$2:$E$9, "NOT_FOUND") &amp; "_" &amp; $C65 &amp; ": return {" &amp; _xlfn.TEXTJOIN(", ", TRUE, _xlfn.XLOOKUP(TRIM(D65:G65)&amp;"", Mapping!$A$2:$A$6&amp;"", Mapping!$B$2:$B$6, "NOT_FOUND")) &amp; "}; //  " &amp; D65 &amp; ",  " &amp; E65 &amp; ",  " &amp; F65 &amp; ",  " &amp; G65</f>
        <v>9'b100_111101: return {3'b111, 3'b001, 3'b111, 3'b010}; //  -1,  +1,  -1,  +2</v>
      </c>
      <c r="U65" s="1" t="str" cm="1">
        <f t="array" ref="U65">"9'b"&amp; _xlfn.XLOOKUP(--TRIM(H$3),--Mapping!$D$2:$D$9,Mapping!$E$2:$E$9) &amp; "_" &amp; $C65 &amp; ": return " &amp; "{" &amp; _xlfn.TEXTJOIN(", ", TRUE, _xlfn.XLOOKUP(--TRIM(H65:K65), --Mapping!$A$2:$A$6, Mapping!$B$2:$B$6)) &amp; "}" &amp; "; //  " &amp; H65 &amp; ",  "  &amp; I65 &amp; ",  "  &amp; J65 &amp; ",  "  &amp; K65</f>
        <v>9'b110_111101: return {3'b110, 3'b000, 3'b111, 3'b010}; //  -2,  0,  -1,  +2</v>
      </c>
      <c r="V65" s="1" t="str" cm="1">
        <f t="array" ref="V65">"9'b"&amp; _xlfn.XLOOKUP(--TRIM(L$3),--Mapping!$D$2:$D$9,Mapping!$E$2:$E$9) &amp; "_" &amp; $C65 &amp; ": return " &amp; "{" &amp; _xlfn.TEXTJOIN(", ", TRUE, _xlfn.XLOOKUP(--TRIM(L65:O65), --Mapping!$A$2:$A$6, Mapping!$B$2:$B$6)) &amp; "}" &amp; "; //  " &amp; L65 &amp; ",  "  &amp; M65 &amp; ",  "  &amp; N65 &amp; ",  "  &amp; O65</f>
        <v>9'b101_111101: return {3'b111, 3'b000, 3'b110, 3'b010}; //  -1,  0,  -2,  +2</v>
      </c>
      <c r="W65" s="1" t="str" cm="1">
        <f t="array" ref="W65">"9'b"&amp; _xlfn.XLOOKUP(--TRIM(P$3),--Mapping!$D$2:$D$9,Mapping!$E$2:$E$9) &amp; "_" &amp; $C65 &amp; ": return " &amp; "{" &amp; _xlfn.TEXTJOIN(", ", TRUE, _xlfn.XLOOKUP(--TRIM(P65:S65), --Mapping!$A$2:$A$6, Mapping!$B$2:$B$6)) &amp; "}" &amp; "; //  " &amp; P65 &amp; ",  "  &amp; Q65 &amp; ",  "  &amp; R65 &amp; ",  "  &amp; S65</f>
        <v>9'b111_111101: return {3'b110, 3'b001, 3'b110, 3'b010}; //  -2,  +1,  -2,  +2</v>
      </c>
    </row>
    <row r="66" spans="1:23" x14ac:dyDescent="0.25">
      <c r="A66" s="1" t="s">
        <v>257</v>
      </c>
      <c r="B66" s="1" t="s">
        <v>108</v>
      </c>
      <c r="C66" s="1" t="s">
        <v>174</v>
      </c>
      <c r="D66" s="1" t="s">
        <v>102</v>
      </c>
      <c r="E66" s="1" t="s">
        <v>114</v>
      </c>
      <c r="F66" s="1" t="s">
        <v>114</v>
      </c>
      <c r="G66" s="1" t="s">
        <v>101</v>
      </c>
      <c r="H66" s="1" t="s">
        <v>110</v>
      </c>
      <c r="I66" s="1" t="s">
        <v>112</v>
      </c>
      <c r="J66" s="1" t="s">
        <v>114</v>
      </c>
      <c r="K66" s="1" t="s">
        <v>101</v>
      </c>
      <c r="L66" s="1" t="s">
        <v>102</v>
      </c>
      <c r="M66" s="1" t="s">
        <v>112</v>
      </c>
      <c r="N66" s="1" t="s">
        <v>112</v>
      </c>
      <c r="O66" s="1" t="s">
        <v>101</v>
      </c>
      <c r="P66" s="1" t="s">
        <v>110</v>
      </c>
      <c r="Q66" s="1" t="s">
        <v>114</v>
      </c>
      <c r="R66" s="1" t="s">
        <v>112</v>
      </c>
      <c r="S66" s="1" t="s">
        <v>101</v>
      </c>
      <c r="T66" s="1" t="str" cm="1">
        <f t="array" ref="T66">"9'b" &amp; _xlfn.XLOOKUP(TRIM(D$3)&amp;"", Mapping!$D$2:$D$9&amp;"", Mapping!$E$2:$E$9, "NOT_FOUND") &amp; "_" &amp; $C66 &amp; ": return {" &amp; _xlfn.TEXTJOIN(", ", TRUE, _xlfn.XLOOKUP(TRIM(D66:G66)&amp;"", Mapping!$A$2:$A$6&amp;"", Mapping!$B$2:$B$6, "NOT_FOUND")) &amp; "}; //  " &amp; D66 &amp; ",  " &amp; E66 &amp; ",  " &amp; F66 &amp; ",  " &amp; G66</f>
        <v>9'b100_111110: return {3'b001, 3'b111, 3'b111, 3'b010}; //  +1,  -1,  -1,  +2</v>
      </c>
      <c r="U66" s="1" t="str" cm="1">
        <f t="array" ref="U66">"9'b"&amp; _xlfn.XLOOKUP(--TRIM(H$3),--Mapping!$D$2:$D$9,Mapping!$E$2:$E$9) &amp; "_" &amp; $C66 &amp; ": return " &amp; "{" &amp; _xlfn.TEXTJOIN(", ", TRUE, _xlfn.XLOOKUP(--TRIM(H66:K66), --Mapping!$A$2:$A$6, Mapping!$B$2:$B$6)) &amp; "}" &amp; "; //  " &amp; H66 &amp; ",  "  &amp; I66 &amp; ",  "  &amp; J66 &amp; ",  "  &amp; K66</f>
        <v>9'b110_111110: return {3'b000, 3'b110, 3'b111, 3'b010}; //  0,  -2,  -1,  +2</v>
      </c>
      <c r="V66" s="1" t="str" cm="1">
        <f t="array" ref="V66">"9'b"&amp; _xlfn.XLOOKUP(--TRIM(L$3),--Mapping!$D$2:$D$9,Mapping!$E$2:$E$9) &amp; "_" &amp; $C66 &amp; ": return " &amp; "{" &amp; _xlfn.TEXTJOIN(", ", TRUE, _xlfn.XLOOKUP(--TRIM(L66:O66), --Mapping!$A$2:$A$6, Mapping!$B$2:$B$6)) &amp; "}" &amp; "; //  " &amp; L66 &amp; ",  "  &amp; M66 &amp; ",  "  &amp; N66 &amp; ",  "  &amp; O66</f>
        <v>9'b101_111110: return {3'b001, 3'b110, 3'b110, 3'b010}; //  +1,  -2,  -2,  +2</v>
      </c>
      <c r="W66" s="1" t="str" cm="1">
        <f t="array" ref="W66">"9'b"&amp; _xlfn.XLOOKUP(--TRIM(P$3),--Mapping!$D$2:$D$9,Mapping!$E$2:$E$9) &amp; "_" &amp; $C66 &amp; ": return " &amp; "{" &amp; _xlfn.TEXTJOIN(", ", TRUE, _xlfn.XLOOKUP(--TRIM(P66:S66), --Mapping!$A$2:$A$6, Mapping!$B$2:$B$6)) &amp; "}" &amp; "; //  " &amp; P66 &amp; ",  "  &amp; Q66 &amp; ",  "  &amp; R66 &amp; ",  "  &amp; S66</f>
        <v>9'b111_111110: return {3'b000, 3'b111, 3'b110, 3'b010}; //  0,  -1,  -2,  +2</v>
      </c>
    </row>
    <row r="67" spans="1:23" x14ac:dyDescent="0.25">
      <c r="A67" s="1" t="s">
        <v>258</v>
      </c>
      <c r="B67" s="1" t="s">
        <v>108</v>
      </c>
      <c r="C67" s="1" t="s">
        <v>175</v>
      </c>
      <c r="D67" s="1" t="s">
        <v>114</v>
      </c>
      <c r="E67" s="1" t="s">
        <v>114</v>
      </c>
      <c r="F67" s="1" t="s">
        <v>114</v>
      </c>
      <c r="G67" s="1" t="s">
        <v>101</v>
      </c>
      <c r="H67" s="1" t="s">
        <v>112</v>
      </c>
      <c r="I67" s="1" t="s">
        <v>112</v>
      </c>
      <c r="J67" s="1" t="s">
        <v>114</v>
      </c>
      <c r="K67" s="1" t="s">
        <v>101</v>
      </c>
      <c r="L67" s="1" t="s">
        <v>114</v>
      </c>
      <c r="M67" s="1" t="s">
        <v>112</v>
      </c>
      <c r="N67" s="1" t="s">
        <v>112</v>
      </c>
      <c r="O67" s="1" t="s">
        <v>101</v>
      </c>
      <c r="P67" s="1" t="s">
        <v>112</v>
      </c>
      <c r="Q67" s="1" t="s">
        <v>114</v>
      </c>
      <c r="R67" s="1" t="s">
        <v>112</v>
      </c>
      <c r="S67" s="1" t="s">
        <v>101</v>
      </c>
      <c r="T67" s="1" t="str" cm="1">
        <f t="array" ref="T67">"9'b" &amp; _xlfn.XLOOKUP(TRIM(D$3)&amp;"", Mapping!$D$2:$D$9&amp;"", Mapping!$E$2:$E$9, "NOT_FOUND") &amp; "_" &amp; $C67 &amp; ": return {" &amp; _xlfn.TEXTJOIN(", ", TRUE, _xlfn.XLOOKUP(TRIM(D67:G67)&amp;"", Mapping!$A$2:$A$6&amp;"", Mapping!$B$2:$B$6, "NOT_FOUND")) &amp; "}; //  " &amp; D67 &amp; ",  " &amp; E67 &amp; ",  " &amp; F67 &amp; ",  " &amp; G67</f>
        <v>9'b100_111111: return {3'b111, 3'b111, 3'b111, 3'b010}; //  -1,  -1,  -1,  +2</v>
      </c>
      <c r="U67" s="1" t="str" cm="1">
        <f t="array" ref="U67">"9'b"&amp; _xlfn.XLOOKUP(--TRIM(H$3),--Mapping!$D$2:$D$9,Mapping!$E$2:$E$9) &amp; "_" &amp; $C67 &amp; ": return " &amp; "{" &amp; _xlfn.TEXTJOIN(", ", TRUE, _xlfn.XLOOKUP(--TRIM(H67:K67), --Mapping!$A$2:$A$6, Mapping!$B$2:$B$6)) &amp; "}" &amp; "; //  " &amp; H67 &amp; ",  "  &amp; I67 &amp; ",  "  &amp; J67 &amp; ",  "  &amp; K67</f>
        <v>9'b110_111111: return {3'b110, 3'b110, 3'b111, 3'b010}; //  -2,  -2,  -1,  +2</v>
      </c>
      <c r="V67" s="1" t="str" cm="1">
        <f t="array" ref="V67">"9'b"&amp; _xlfn.XLOOKUP(--TRIM(L$3),--Mapping!$D$2:$D$9,Mapping!$E$2:$E$9) &amp; "_" &amp; $C67 &amp; ": return " &amp; "{" &amp; _xlfn.TEXTJOIN(", ", TRUE, _xlfn.XLOOKUP(--TRIM(L67:O67), --Mapping!$A$2:$A$6, Mapping!$B$2:$B$6)) &amp; "}" &amp; "; //  " &amp; L67 &amp; ",  "  &amp; M67 &amp; ",  "  &amp; N67 &amp; ",  "  &amp; O67</f>
        <v>9'b101_111111: return {3'b111, 3'b110, 3'b110, 3'b010}; //  -1,  -2,  -2,  +2</v>
      </c>
      <c r="W67" s="1" t="str" cm="1">
        <f t="array" ref="W67">"9'b"&amp; _xlfn.XLOOKUP(--TRIM(P$3),--Mapping!$D$2:$D$9,Mapping!$E$2:$E$9) &amp; "_" &amp; $C67 &amp; ": return " &amp; "{" &amp; _xlfn.TEXTJOIN(", ", TRUE, _xlfn.XLOOKUP(--TRIM(P67:S67), --Mapping!$A$2:$A$6, Mapping!$B$2:$B$6)) &amp; "}" &amp; "; //  " &amp; P67 &amp; ",  "  &amp; Q67 &amp; ",  "  &amp; R67 &amp; ",  "  &amp; S67</f>
        <v>9'b111_111111: return {3'b110, 3'b111, 3'b110, 3'b010}; //  -2,  -1,  -2,  +2</v>
      </c>
    </row>
    <row r="68" spans="1:23" x14ac:dyDescent="0.25">
      <c r="A68" s="16" t="s">
        <v>259</v>
      </c>
      <c r="B68" s="16" t="s">
        <v>176</v>
      </c>
      <c r="C68" s="16" t="s">
        <v>177</v>
      </c>
      <c r="D68" s="16" t="s">
        <v>101</v>
      </c>
      <c r="E68" s="16" t="s">
        <v>101</v>
      </c>
      <c r="F68" s="16" t="s">
        <v>110</v>
      </c>
      <c r="G68" s="16" t="s">
        <v>102</v>
      </c>
      <c r="H68" s="16" t="s">
        <v>110</v>
      </c>
      <c r="I68" s="16" t="s">
        <v>101</v>
      </c>
      <c r="J68" s="16" t="s">
        <v>102</v>
      </c>
      <c r="K68" s="16" t="s">
        <v>101</v>
      </c>
      <c r="L68" s="16" t="s">
        <v>102</v>
      </c>
      <c r="M68" s="16" t="s">
        <v>101</v>
      </c>
      <c r="N68" s="16" t="s">
        <v>101</v>
      </c>
      <c r="O68" s="16" t="s">
        <v>110</v>
      </c>
      <c r="P68" s="16" t="s">
        <v>101</v>
      </c>
      <c r="Q68" s="16" t="s">
        <v>102</v>
      </c>
      <c r="R68" s="16" t="s">
        <v>101</v>
      </c>
      <c r="S68" s="16" t="s">
        <v>110</v>
      </c>
    </row>
    <row r="69" spans="1:23" x14ac:dyDescent="0.25">
      <c r="A69" s="16" t="s">
        <v>260</v>
      </c>
      <c r="B69" s="16" t="s">
        <v>178</v>
      </c>
      <c r="C69" s="16" t="s">
        <v>177</v>
      </c>
      <c r="D69" s="16" t="s">
        <v>101</v>
      </c>
      <c r="E69" s="16" t="s">
        <v>101</v>
      </c>
      <c r="F69" s="16" t="s">
        <v>112</v>
      </c>
      <c r="G69" s="16" t="s">
        <v>114</v>
      </c>
      <c r="H69" s="16" t="s">
        <v>112</v>
      </c>
      <c r="I69" s="16" t="s">
        <v>101</v>
      </c>
      <c r="J69" s="16" t="s">
        <v>114</v>
      </c>
      <c r="K69" s="16" t="s">
        <v>101</v>
      </c>
      <c r="L69" s="16" t="s">
        <v>114</v>
      </c>
      <c r="M69" s="16" t="s">
        <v>101</v>
      </c>
      <c r="N69" s="16" t="s">
        <v>101</v>
      </c>
      <c r="O69" s="16" t="s">
        <v>112</v>
      </c>
      <c r="P69" s="16" t="s">
        <v>101</v>
      </c>
      <c r="Q69" s="16" t="s">
        <v>114</v>
      </c>
      <c r="R69" s="16" t="s">
        <v>101</v>
      </c>
      <c r="S69" s="16" t="s">
        <v>112</v>
      </c>
    </row>
    <row r="70" spans="1:23" x14ac:dyDescent="0.25">
      <c r="A70" s="16" t="s">
        <v>261</v>
      </c>
      <c r="B70" s="16" t="s">
        <v>179</v>
      </c>
      <c r="C70" s="16" t="s">
        <v>177</v>
      </c>
      <c r="D70" s="16" t="s">
        <v>101</v>
      </c>
      <c r="E70" s="16" t="s">
        <v>110</v>
      </c>
      <c r="F70" s="16" t="s">
        <v>101</v>
      </c>
      <c r="G70" s="16" t="s">
        <v>102</v>
      </c>
      <c r="H70" s="16" t="s">
        <v>101</v>
      </c>
      <c r="I70" s="16" t="s">
        <v>110</v>
      </c>
      <c r="J70" s="16" t="s">
        <v>102</v>
      </c>
      <c r="K70" s="16" t="s">
        <v>101</v>
      </c>
      <c r="L70" s="16" t="s">
        <v>102</v>
      </c>
      <c r="M70" s="16" t="s">
        <v>110</v>
      </c>
      <c r="N70" s="16" t="s">
        <v>101</v>
      </c>
      <c r="O70" s="16" t="s">
        <v>101</v>
      </c>
      <c r="P70" s="16" t="s">
        <v>101</v>
      </c>
      <c r="Q70" s="16" t="s">
        <v>102</v>
      </c>
      <c r="R70" s="16" t="s">
        <v>110</v>
      </c>
      <c r="S70" s="16" t="s">
        <v>101</v>
      </c>
    </row>
    <row r="71" spans="1:23" x14ac:dyDescent="0.25">
      <c r="A71" s="1" t="s">
        <v>262</v>
      </c>
      <c r="B71" s="1" t="s">
        <v>180</v>
      </c>
      <c r="C71" s="1" t="s">
        <v>177</v>
      </c>
      <c r="D71" s="1" t="s">
        <v>101</v>
      </c>
      <c r="E71" s="1" t="s">
        <v>112</v>
      </c>
      <c r="F71" s="1" t="s">
        <v>101</v>
      </c>
      <c r="G71" s="1" t="s">
        <v>114</v>
      </c>
      <c r="H71" s="1" t="s">
        <v>101</v>
      </c>
      <c r="I71" s="1" t="s">
        <v>112</v>
      </c>
      <c r="J71" s="1" t="s">
        <v>114</v>
      </c>
      <c r="K71" s="1" t="s">
        <v>101</v>
      </c>
      <c r="L71" s="1" t="s">
        <v>114</v>
      </c>
      <c r="M71" s="1" t="s">
        <v>112</v>
      </c>
      <c r="N71" s="1" t="s">
        <v>101</v>
      </c>
      <c r="O71" s="1" t="s">
        <v>101</v>
      </c>
      <c r="P71" s="1" t="s">
        <v>101</v>
      </c>
      <c r="Q71" s="1" t="s">
        <v>114</v>
      </c>
      <c r="R71" s="1" t="s">
        <v>112</v>
      </c>
      <c r="S71" s="1" t="s">
        <v>101</v>
      </c>
      <c r="T71" t="str" cm="1">
        <f t="array" ref="T71">"3'b"&amp; _xlfn.XLOOKUP(--TRIM(D$3),--Mapping!$D$2:$D$9,Mapping!$E$2:$E$9) &amp;  ": return " &amp; "{" &amp; _xlfn.TEXTJOIN(", ", TRUE, _xlfn.XLOOKUP(--TRIM(D71:G71), --Mapping!$A$2:$A$6, Mapping!$B$2:$B$6)) &amp; "}" &amp; "; //  " &amp; D71 &amp; ",  "  &amp; E71 &amp; ",  "  &amp; F71 &amp; ",  "  &amp; G71</f>
        <v>3'b100: return {3'b010, 3'b110, 3'b010, 3'b111}; //  +2,  -2,  +2,  -1</v>
      </c>
      <c r="U71" t="str" cm="1">
        <f t="array" ref="U71">"3'b"&amp; _xlfn.XLOOKUP(--TRIM(H$3),--Mapping!$D$2:$D$9,Mapping!$E$2:$E$9) &amp;  ": return " &amp; "{" &amp; _xlfn.TEXTJOIN(", ", TRUE, _xlfn.XLOOKUP(--TRIM(H71:K71), --Mapping!$A$2:$A$6, Mapping!$B$2:$B$6)) &amp; "}" &amp; "; //  " &amp; H71 &amp; ",  "  &amp; I71 &amp; ",  "  &amp; J71 &amp; ",  "  &amp; K71</f>
        <v>3'b110: return {3'b010, 3'b110, 3'b111, 3'b010}; //  +2,  -2,  -1,  +2</v>
      </c>
      <c r="V71" t="str" cm="1">
        <f t="array" ref="V71">"3'b"&amp; _xlfn.XLOOKUP(--TRIM(L$3),--Mapping!$D$2:$D$9,Mapping!$E$2:$E$9) &amp;  ": return " &amp; "{" &amp; _xlfn.TEXTJOIN(", ", TRUE, _xlfn.XLOOKUP(--TRIM(L71:O71), --Mapping!$A$2:$A$6, Mapping!$B$2:$B$6)) &amp; "}" &amp; "; //  " &amp; L71 &amp; ",  "  &amp; M71 &amp; ",  "  &amp; N71 &amp; ",  "  &amp; O71</f>
        <v>3'b101: return {3'b111, 3'b110, 3'b010, 3'b010}; //  -1,  -2,  +2,  +2</v>
      </c>
      <c r="W71" t="str" cm="1">
        <f t="array" ref="W71">"3'b"&amp; _xlfn.XLOOKUP(--TRIM(P$3),--Mapping!$D$2:$D$9,Mapping!$E$2:$E$9) &amp;  ": return " &amp; "{" &amp; _xlfn.TEXTJOIN(", ", TRUE, _xlfn.XLOOKUP(--TRIM(P71:S71), --Mapping!$A$2:$A$6, Mapping!$B$2:$B$6)) &amp; "}" &amp; "; //  " &amp; P71 &amp; ",  "  &amp; Q71 &amp; ",  "  &amp; R71 &amp; ",  "  &amp; S71</f>
        <v>3'b111: return {3'b010, 3'b111, 3'b110, 3'b010}; //  +2,  -1,  -2,  +2</v>
      </c>
    </row>
  </sheetData>
  <mergeCells count="6">
    <mergeCell ref="T2:W3"/>
    <mergeCell ref="D2:S2"/>
    <mergeCell ref="D3:G3"/>
    <mergeCell ref="H3:K3"/>
    <mergeCell ref="L3:O3"/>
    <mergeCell ref="P3: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86ED-4257-475F-84D0-02E4F2B1F310}">
  <dimension ref="A1:E9"/>
  <sheetViews>
    <sheetView workbookViewId="0">
      <selection activeCell="A2" sqref="A2:B5"/>
    </sheetView>
  </sheetViews>
  <sheetFormatPr defaultRowHeight="15" x14ac:dyDescent="0.25"/>
  <cols>
    <col min="4" max="4" width="9.140625" style="8"/>
  </cols>
  <sheetData>
    <row r="1" spans="1:5" x14ac:dyDescent="0.25">
      <c r="A1" s="6" t="s">
        <v>99</v>
      </c>
      <c r="B1" s="6" t="s">
        <v>100</v>
      </c>
      <c r="D1" s="7" t="s">
        <v>99</v>
      </c>
      <c r="E1" t="s">
        <v>100</v>
      </c>
    </row>
    <row r="2" spans="1:5" x14ac:dyDescent="0.25">
      <c r="A2" s="5" t="s">
        <v>101</v>
      </c>
      <c r="B2" t="s">
        <v>103</v>
      </c>
      <c r="D2" s="10" t="s">
        <v>4</v>
      </c>
      <c r="E2" s="9" t="s">
        <v>4</v>
      </c>
    </row>
    <row r="3" spans="1:5" x14ac:dyDescent="0.25">
      <c r="A3" s="5" t="s">
        <v>102</v>
      </c>
      <c r="B3" t="s">
        <v>104</v>
      </c>
      <c r="D3" s="10" t="s">
        <v>5</v>
      </c>
      <c r="E3" s="9" t="s">
        <v>5</v>
      </c>
    </row>
    <row r="4" spans="1:5" x14ac:dyDescent="0.25">
      <c r="A4">
        <v>0</v>
      </c>
      <c r="B4" t="s">
        <v>105</v>
      </c>
      <c r="D4" s="10" t="s">
        <v>6</v>
      </c>
      <c r="E4" s="9" t="s">
        <v>190</v>
      </c>
    </row>
    <row r="5" spans="1:5" x14ac:dyDescent="0.25">
      <c r="A5">
        <v>-1</v>
      </c>
      <c r="B5" t="s">
        <v>106</v>
      </c>
      <c r="D5" s="10" t="s">
        <v>7</v>
      </c>
      <c r="E5" s="9" t="s">
        <v>191</v>
      </c>
    </row>
    <row r="6" spans="1:5" x14ac:dyDescent="0.25">
      <c r="A6">
        <v>-2</v>
      </c>
      <c r="B6" t="s">
        <v>107</v>
      </c>
      <c r="D6" s="15" t="s">
        <v>190</v>
      </c>
      <c r="E6" s="9" t="s">
        <v>6</v>
      </c>
    </row>
    <row r="7" spans="1:5" x14ac:dyDescent="0.25">
      <c r="D7" s="15" t="s">
        <v>191</v>
      </c>
      <c r="E7" s="9" t="s">
        <v>7</v>
      </c>
    </row>
    <row r="8" spans="1:5" x14ac:dyDescent="0.25">
      <c r="D8" s="15" t="s">
        <v>193</v>
      </c>
      <c r="E8" s="9" t="s">
        <v>193</v>
      </c>
    </row>
    <row r="9" spans="1:5" x14ac:dyDescent="0.25">
      <c r="D9" s="15" t="s">
        <v>194</v>
      </c>
      <c r="E9" s="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40-1</vt:lpstr>
      <vt:lpstr>Table 40-2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Yasirul Choudhury</dc:creator>
  <cp:lastModifiedBy>Yasirul Choudhury</cp:lastModifiedBy>
  <dcterms:created xsi:type="dcterms:W3CDTF">2026-05-08T20:28:51Z</dcterms:created>
  <dcterms:modified xsi:type="dcterms:W3CDTF">2026-05-08T22:03:05Z</dcterms:modified>
</cp:coreProperties>
</file>